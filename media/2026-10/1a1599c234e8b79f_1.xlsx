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nus\Downloads\"/>
    </mc:Choice>
  </mc:AlternateContent>
  <xr:revisionPtr revIDLastSave="0" documentId="13_ncr:1_{61694EED-9881-4CF1-8A46-4CF3951A667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כיתה ו1" sheetId="23" r:id="rId1"/>
    <sheet name="כיתה ו2" sheetId="24" r:id="rId2"/>
    <sheet name="כיתה ו3" sheetId="25" r:id="rId3"/>
    <sheet name="כיתה ו4" sheetId="26" r:id="rId4"/>
    <sheet name="כיתה ו5" sheetId="27" r:id="rId5"/>
    <sheet name="דשבורד שכבה ו" sheetId="2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4" i="27" l="1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G44" i="28" l="1" a="1"/>
  <c r="G44" i="28" s="1"/>
  <c r="C44" i="28" a="1"/>
  <c r="C44" i="28" s="1"/>
  <c r="G43" i="28" a="1"/>
  <c r="G43" i="28" s="1"/>
  <c r="C43" i="28" a="1"/>
  <c r="C43" i="28" s="1"/>
  <c r="G42" i="28" a="1"/>
  <c r="G42" i="28" s="1"/>
  <c r="C42" i="28" a="1"/>
  <c r="C42" i="28" s="1"/>
  <c r="G41" i="28" a="1"/>
  <c r="G41" i="28" s="1"/>
  <c r="C41" i="28" a="1"/>
  <c r="C41" i="28" s="1"/>
  <c r="G40" i="28" a="1"/>
  <c r="G40" i="28" s="1"/>
  <c r="C40" i="28" a="1"/>
  <c r="C40" i="28" s="1"/>
  <c r="G39" i="28" a="1"/>
  <c r="G39" i="28" s="1"/>
  <c r="C39" i="28" a="1"/>
  <c r="C39" i="28" s="1"/>
  <c r="G38" i="28" a="1"/>
  <c r="G38" i="28" s="1"/>
  <c r="C38" i="28" a="1"/>
  <c r="C38" i="28" s="1"/>
  <c r="G37" i="28" a="1"/>
  <c r="G37" i="28" s="1"/>
  <c r="C37" i="28" a="1"/>
  <c r="C37" i="28" s="1"/>
  <c r="G36" i="28" a="1"/>
  <c r="G36" i="28" s="1"/>
  <c r="C36" i="28" a="1"/>
  <c r="C36" i="28" s="1"/>
  <c r="G35" i="28" a="1"/>
  <c r="G35" i="28" s="1"/>
  <c r="C35" i="28" a="1"/>
  <c r="C35" i="28" s="1"/>
  <c r="G34" i="28" a="1"/>
  <c r="G34" i="28" s="1"/>
  <c r="C34" i="28" a="1"/>
  <c r="C34" i="28" s="1"/>
  <c r="G29" i="28" a="1"/>
  <c r="G29" i="28" s="1"/>
  <c r="F29" i="28" a="1"/>
  <c r="F29" i="28" s="1"/>
  <c r="E29" i="28" a="1"/>
  <c r="E29" i="28" s="1"/>
  <c r="D29" i="28" a="1"/>
  <c r="D29" i="28" s="1"/>
  <c r="C29" i="28" a="1"/>
  <c r="C29" i="28" s="1"/>
  <c r="B29" i="28" a="1"/>
  <c r="B29" i="28" s="1"/>
  <c r="G28" i="28" a="1"/>
  <c r="G28" i="28" s="1"/>
  <c r="F28" i="28" a="1"/>
  <c r="F28" i="28" s="1"/>
  <c r="E28" i="28" a="1"/>
  <c r="E28" i="28" s="1"/>
  <c r="D28" i="28" a="1"/>
  <c r="D28" i="28" s="1"/>
  <c r="C28" i="28" a="1"/>
  <c r="C28" i="28" s="1"/>
  <c r="B28" i="28" a="1"/>
  <c r="B28" i="28" s="1"/>
  <c r="G27" i="28" a="1"/>
  <c r="G27" i="28" s="1"/>
  <c r="F27" i="28" a="1"/>
  <c r="F27" i="28" s="1"/>
  <c r="E27" i="28" a="1"/>
  <c r="E27" i="28" s="1"/>
  <c r="D27" i="28" a="1"/>
  <c r="D27" i="28" s="1"/>
  <c r="C27" i="28" a="1"/>
  <c r="C27" i="28" s="1"/>
  <c r="B27" i="28" a="1"/>
  <c r="B27" i="28" s="1"/>
  <c r="G25" i="28" a="1"/>
  <c r="G25" i="28" s="1"/>
  <c r="F25" i="28" a="1"/>
  <c r="F25" i="28" s="1"/>
  <c r="E25" i="28" a="1"/>
  <c r="E25" i="28" s="1"/>
  <c r="D25" i="28" a="1"/>
  <c r="D25" i="28" s="1"/>
  <c r="C25" i="28" a="1"/>
  <c r="C25" i="28" s="1"/>
  <c r="B25" i="28" a="1"/>
  <c r="B25" i="28" s="1"/>
  <c r="G24" i="28" a="1"/>
  <c r="G24" i="28" s="1"/>
  <c r="F24" i="28" a="1"/>
  <c r="F24" i="28" s="1"/>
  <c r="E24" i="28" a="1"/>
  <c r="E24" i="28" s="1"/>
  <c r="D24" i="28" a="1"/>
  <c r="D24" i="28" s="1"/>
  <c r="C24" i="28" a="1"/>
  <c r="C24" i="28" s="1"/>
  <c r="B24" i="28" a="1"/>
  <c r="B24" i="28" s="1"/>
  <c r="G23" i="28" a="1"/>
  <c r="G23" i="28" s="1"/>
  <c r="F23" i="28" a="1"/>
  <c r="F23" i="28" s="1"/>
  <c r="E23" i="28" a="1"/>
  <c r="E23" i="28" s="1"/>
  <c r="D23" i="28" a="1"/>
  <c r="D23" i="28" s="1"/>
  <c r="C23" i="28" a="1"/>
  <c r="C23" i="28" s="1"/>
  <c r="B23" i="28" a="1"/>
  <c r="B23" i="28" s="1"/>
  <c r="G22" i="28" a="1"/>
  <c r="G22" i="28" s="1"/>
  <c r="F22" i="28" a="1"/>
  <c r="F22" i="28" s="1"/>
  <c r="E22" i="28" a="1"/>
  <c r="E22" i="28" s="1"/>
  <c r="D22" i="28" a="1"/>
  <c r="D22" i="28" s="1"/>
  <c r="C22" i="28" a="1"/>
  <c r="C22" i="28" s="1"/>
  <c r="B22" i="28" a="1"/>
  <c r="B22" i="28" s="1"/>
  <c r="G21" i="28" a="1"/>
  <c r="G21" i="28" s="1"/>
  <c r="F21" i="28" a="1"/>
  <c r="F21" i="28" s="1"/>
  <c r="E21" i="28" a="1"/>
  <c r="E21" i="28" s="1"/>
  <c r="D21" i="28" a="1"/>
  <c r="D21" i="28" s="1"/>
  <c r="C21" i="28" a="1"/>
  <c r="C21" i="28" s="1"/>
  <c r="B21" i="28" a="1"/>
  <c r="B21" i="28" s="1"/>
  <c r="G20" i="28" a="1"/>
  <c r="G20" i="28" s="1"/>
  <c r="F20" i="28" a="1"/>
  <c r="F20" i="28" s="1"/>
  <c r="E20" i="28" a="1"/>
  <c r="E20" i="28" s="1"/>
  <c r="D20" i="28" a="1"/>
  <c r="D20" i="28" s="1"/>
  <c r="C20" i="28" a="1"/>
  <c r="C20" i="28" s="1"/>
  <c r="B20" i="28" a="1"/>
  <c r="B20" i="28" s="1"/>
  <c r="G19" i="28" a="1"/>
  <c r="G19" i="28" s="1"/>
  <c r="F19" i="28" a="1"/>
  <c r="F19" i="28" s="1"/>
  <c r="E19" i="28" a="1"/>
  <c r="E19" i="28" s="1"/>
  <c r="D19" i="28" a="1"/>
  <c r="D19" i="28" s="1"/>
  <c r="C19" i="28" a="1"/>
  <c r="C19" i="28" s="1"/>
  <c r="B19" i="28" a="1"/>
  <c r="B19" i="28" s="1"/>
  <c r="G18" i="28" a="1"/>
  <c r="G18" i="28" s="1"/>
  <c r="F18" i="28" a="1"/>
  <c r="F18" i="28" s="1"/>
  <c r="E18" i="28" a="1"/>
  <c r="E18" i="28" s="1"/>
  <c r="D18" i="28" a="1"/>
  <c r="D18" i="28" s="1"/>
  <c r="C18" i="28" a="1"/>
  <c r="C18" i="28" s="1"/>
  <c r="B18" i="28" a="1"/>
  <c r="B18" i="28" s="1"/>
  <c r="G14" i="28" a="1"/>
  <c r="G14" i="28" s="1"/>
  <c r="G13" i="28" a="1"/>
  <c r="G13" i="28" s="1"/>
  <c r="G12" i="28" a="1"/>
  <c r="G12" i="28" s="1"/>
  <c r="G11" i="28" a="1"/>
  <c r="G11" i="28" s="1"/>
  <c r="G10" i="28" a="1"/>
  <c r="G10" i="28" s="1"/>
  <c r="G9" i="28" a="1"/>
  <c r="G9" i="28" s="1"/>
  <c r="Q5" i="28"/>
  <c r="M5" i="28" a="1"/>
  <c r="M5" i="28"/>
  <c r="J5" i="28" a="1"/>
  <c r="J5" i="28"/>
  <c r="G5" i="28" a="1"/>
  <c r="G5" i="28"/>
  <c r="D5" i="28"/>
  <c r="AF43" i="27"/>
  <c r="AF42" i="27"/>
  <c r="AF41" i="27"/>
  <c r="AF40" i="27"/>
  <c r="AF39" i="27"/>
  <c r="AF38" i="27"/>
  <c r="AF37" i="27"/>
  <c r="AF36" i="27"/>
  <c r="AF35" i="27"/>
  <c r="AF34" i="27"/>
  <c r="AF33" i="27"/>
  <c r="AF32" i="27"/>
  <c r="AF31" i="27"/>
  <c r="AF30" i="27"/>
  <c r="AF29" i="27"/>
  <c r="AF28" i="27"/>
  <c r="AF27" i="27"/>
  <c r="AF26" i="27"/>
  <c r="AF25" i="27"/>
  <c r="AF24" i="27"/>
  <c r="AF23" i="27"/>
  <c r="AF22" i="27"/>
  <c r="AF21" i="27"/>
  <c r="AF20" i="27"/>
  <c r="AF19" i="27"/>
  <c r="AF18" i="27"/>
  <c r="AF17" i="27"/>
  <c r="AF16" i="27"/>
  <c r="AF15" i="27"/>
  <c r="F13" i="28" s="1" a="1"/>
  <c r="F13" i="28" s="1"/>
  <c r="AF14" i="27"/>
  <c r="AF13" i="27"/>
  <c r="E13" i="28" s="1" a="1"/>
  <c r="E13" i="28" s="1"/>
  <c r="AF12" i="27"/>
  <c r="AF11" i="27"/>
  <c r="AF10" i="27"/>
  <c r="AF9" i="27"/>
  <c r="AF8" i="27"/>
  <c r="AF7" i="27"/>
  <c r="D13" i="28" s="1" a="1"/>
  <c r="D13" i="28" s="1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F12" i="28" s="1" a="1"/>
  <c r="F12" i="28" s="1"/>
  <c r="AF15" i="26"/>
  <c r="AF14" i="26"/>
  <c r="E12" i="28" s="1" a="1"/>
  <c r="E12" i="28" s="1"/>
  <c r="AF13" i="26"/>
  <c r="AF12" i="26"/>
  <c r="AF11" i="26"/>
  <c r="AF10" i="26"/>
  <c r="AF9" i="26"/>
  <c r="AF8" i="26"/>
  <c r="D12" i="28" s="1" a="1"/>
  <c r="D12" i="28" s="1"/>
  <c r="AF7" i="26"/>
  <c r="AF43" i="25"/>
  <c r="AF42" i="25"/>
  <c r="AF41" i="25"/>
  <c r="AF40" i="25"/>
  <c r="AF39" i="25"/>
  <c r="AF38" i="25"/>
  <c r="AF37" i="25"/>
  <c r="AF36" i="25"/>
  <c r="AF35" i="25"/>
  <c r="AF34" i="25"/>
  <c r="AF33" i="25"/>
  <c r="AF32" i="25"/>
  <c r="AF31" i="25"/>
  <c r="AF30" i="25"/>
  <c r="AF29" i="25"/>
  <c r="AF28" i="25"/>
  <c r="AF27" i="25"/>
  <c r="AF26" i="25"/>
  <c r="AF25" i="25"/>
  <c r="AF24" i="25"/>
  <c r="AF23" i="25"/>
  <c r="AF22" i="25"/>
  <c r="AF21" i="25"/>
  <c r="AF20" i="25"/>
  <c r="AF19" i="25"/>
  <c r="AF18" i="25"/>
  <c r="AF17" i="25"/>
  <c r="AF16" i="25"/>
  <c r="AF15" i="25"/>
  <c r="AF14" i="25"/>
  <c r="AF13" i="25"/>
  <c r="AF12" i="25"/>
  <c r="AF11" i="25"/>
  <c r="AF10" i="25"/>
  <c r="AF9" i="25"/>
  <c r="AF8" i="25"/>
  <c r="AF7" i="25"/>
  <c r="E11" i="28" s="1" a="1"/>
  <c r="E11" i="28" s="1"/>
  <c r="AF43" i="24"/>
  <c r="AF42" i="24"/>
  <c r="AF41" i="24"/>
  <c r="AF40" i="24"/>
  <c r="AF39" i="24"/>
  <c r="AF38" i="24"/>
  <c r="AF37" i="24"/>
  <c r="AF36" i="24"/>
  <c r="AF35" i="24"/>
  <c r="AF34" i="24"/>
  <c r="AF33" i="24"/>
  <c r="AF32" i="24"/>
  <c r="AF31" i="24"/>
  <c r="AF30" i="24"/>
  <c r="AF29" i="24"/>
  <c r="AF28" i="24"/>
  <c r="AF27" i="24"/>
  <c r="AF26" i="24"/>
  <c r="AF25" i="24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E10" i="28" s="1" a="1"/>
  <c r="E10" i="28" s="1"/>
  <c r="AF7" i="24"/>
  <c r="AF43" i="23"/>
  <c r="AF42" i="23"/>
  <c r="AF41" i="23"/>
  <c r="AF40" i="23"/>
  <c r="AF39" i="23"/>
  <c r="AF38" i="23"/>
  <c r="AF37" i="23"/>
  <c r="AF36" i="23"/>
  <c r="AF35" i="23"/>
  <c r="AF34" i="23"/>
  <c r="AF33" i="23"/>
  <c r="AF32" i="23"/>
  <c r="AF31" i="23"/>
  <c r="AF30" i="23"/>
  <c r="AF29" i="23"/>
  <c r="AF28" i="23"/>
  <c r="AF27" i="23"/>
  <c r="AF26" i="23"/>
  <c r="AF25" i="23"/>
  <c r="AF24" i="23"/>
  <c r="AF23" i="23"/>
  <c r="AF22" i="23"/>
  <c r="AF21" i="23"/>
  <c r="AF20" i="23"/>
  <c r="AF19" i="23"/>
  <c r="AF18" i="23"/>
  <c r="AF17" i="23"/>
  <c r="AF16" i="23"/>
  <c r="AF15" i="23"/>
  <c r="AF14" i="23"/>
  <c r="AF13" i="23"/>
  <c r="AF12" i="23"/>
  <c r="AF11" i="23"/>
  <c r="AF10" i="23"/>
  <c r="AF9" i="23"/>
  <c r="AF8" i="23"/>
  <c r="AF7" i="23"/>
  <c r="E14" i="28" s="1" a="1"/>
  <c r="E14" i="28" s="1"/>
  <c r="F9" i="28" l="1" a="1"/>
  <c r="F9" i="28" s="1"/>
  <c r="F10" i="28" a="1"/>
  <c r="F10" i="28" s="1"/>
  <c r="F11" i="28" a="1"/>
  <c r="F11" i="28" s="1"/>
  <c r="F14" i="28" a="1"/>
  <c r="F14" i="28" s="1"/>
  <c r="B9" i="28" a="1"/>
  <c r="B9" i="28" s="1"/>
  <c r="B10" i="28" a="1"/>
  <c r="B10" i="28" s="1"/>
  <c r="B11" i="28" a="1"/>
  <c r="B11" i="28" s="1"/>
  <c r="B12" i="28" a="1"/>
  <c r="B12" i="28" s="1"/>
  <c r="B13" i="28" a="1"/>
  <c r="B13" i="28" s="1"/>
  <c r="B14" i="28" a="1"/>
  <c r="B14" i="28" s="1"/>
  <c r="A5" i="28" a="1"/>
  <c r="A5" i="28" s="1"/>
  <c r="C9" i="28" a="1"/>
  <c r="C9" i="28" s="1"/>
  <c r="C10" i="28" a="1"/>
  <c r="C10" i="28" s="1"/>
  <c r="C11" i="28" a="1"/>
  <c r="C11" i="28" s="1"/>
  <c r="C12" i="28" a="1"/>
  <c r="C12" i="28" s="1"/>
  <c r="C13" i="28" a="1"/>
  <c r="C13" i="28" s="1"/>
  <c r="C14" i="28" a="1"/>
  <c r="C14" i="28" s="1"/>
  <c r="D9" i="28" a="1"/>
  <c r="D9" i="28" s="1"/>
  <c r="D10" i="28" a="1"/>
  <c r="D10" i="28" s="1"/>
  <c r="D11" i="28" a="1"/>
  <c r="D11" i="28" s="1"/>
  <c r="D14" i="28" a="1"/>
  <c r="D14" i="28" s="1"/>
  <c r="E9" i="28" a="1"/>
  <c r="E9" i="28" s="1"/>
</calcChain>
</file>

<file path=xl/sharedStrings.xml><?xml version="1.0" encoding="utf-8"?>
<sst xmlns="http://schemas.openxmlformats.org/spreadsheetml/2006/main" count="854" uniqueCount="81">
  <si>
    <t>שכבה</t>
  </si>
  <si>
    <t>נושא</t>
  </si>
  <si>
    <t>מבנה עשרוני</t>
  </si>
  <si>
    <t>ידע וזיהוי</t>
  </si>
  <si>
    <t>חשיבה אלגוריתמית</t>
  </si>
  <si>
    <t>פעולות בשלמים</t>
  </si>
  <si>
    <t>חילוק</t>
  </si>
  <si>
    <t>חשיבה תהליכית</t>
  </si>
  <si>
    <t>חקר נתונים</t>
  </si>
  <si>
    <t>מצולעים</t>
  </si>
  <si>
    <t>חיבור</t>
  </si>
  <si>
    <t>חיסור</t>
  </si>
  <si>
    <t>סדר פעולות</t>
  </si>
  <si>
    <t>סדרות</t>
  </si>
  <si>
    <t>כתיבת מספר</t>
  </si>
  <si>
    <t>כפל דו בדו</t>
  </si>
  <si>
    <t>התאמת תרגיל לשאלה מילולית</t>
  </si>
  <si>
    <t>פעולות בשברים</t>
  </si>
  <si>
    <t>שאלה</t>
  </si>
  <si>
    <t>משמעות השבר</t>
  </si>
  <si>
    <t>שאלה מילולית</t>
  </si>
  <si>
    <t>תת שאלה</t>
  </si>
  <si>
    <t>ו</t>
  </si>
  <si>
    <t>2א</t>
  </si>
  <si>
    <t>2ב</t>
  </si>
  <si>
    <t>6א</t>
  </si>
  <si>
    <t>6ב</t>
  </si>
  <si>
    <t>משוואה בחיבור ואי שיוויון</t>
  </si>
  <si>
    <t>אומדן בכפל</t>
  </si>
  <si>
    <t>תת נושא</t>
  </si>
  <si>
    <t>כפל כחיבור חוזר</t>
  </si>
  <si>
    <t>השוואת שברים</t>
  </si>
  <si>
    <t>קריאת דיאגרמה</t>
  </si>
  <si>
    <t>רמת חשיבה</t>
  </si>
  <si>
    <t>איזה חלק</t>
  </si>
  <si>
    <t>השבר כחלק מכמות</t>
  </si>
  <si>
    <t>מס'</t>
  </si>
  <si>
    <t>מספרים עשרוניים</t>
  </si>
  <si>
    <t>מהות העשרוני</t>
  </si>
  <si>
    <t>ת.ז התלמיד</t>
  </si>
  <si>
    <t>השבר על ישר מספרים</t>
  </si>
  <si>
    <t>שם התלמיד</t>
  </si>
  <si>
    <t>כיתה</t>
  </si>
  <si>
    <t>ניקוד</t>
  </si>
  <si>
    <t>משפחת המרובעים</t>
  </si>
  <si>
    <t>גובה במשולש</t>
  </si>
  <si>
    <t>מדידות</t>
  </si>
  <si>
    <t>שטח משולש</t>
  </si>
  <si>
    <t>שטחים מורכבים</t>
  </si>
  <si>
    <t>ציון מבחן</t>
  </si>
  <si>
    <t>הנתונים כוללים תלמידים ניגשים בלבד ומתעדכנים אוטומטית</t>
  </si>
  <si>
    <t>ממוצע שכבה</t>
  </si>
  <si>
    <t>תלמידים רשומים</t>
  </si>
  <si>
    <t>תלמידים ניגשים</t>
  </si>
  <si>
    <t>תלמידים נעדרים</t>
  </si>
  <si>
    <t>אחוז ביצוע</t>
  </si>
  <si>
    <t>מספר כיתות</t>
  </si>
  <si>
    <t>ממוצע</t>
  </si>
  <si>
    <t>86–100</t>
  </si>
  <si>
    <t>70–85</t>
  </si>
  <si>
    <t>55–69</t>
  </si>
  <si>
    <t>0–54</t>
  </si>
  <si>
    <t>ניגשים</t>
  </si>
  <si>
    <t>תת־נושא</t>
  </si>
  <si>
    <t>מספר תתי־שאלות</t>
  </si>
  <si>
    <t>ממוצע הישג</t>
  </si>
  <si>
    <t>2ג</t>
  </si>
  <si>
    <t>2ד</t>
  </si>
  <si>
    <t>6ג</t>
  </si>
  <si>
    <t>6ד</t>
  </si>
  <si>
    <t>8א</t>
  </si>
  <si>
    <t>8ב</t>
  </si>
  <si>
    <t>8ג</t>
  </si>
  <si>
    <t>8ד</t>
  </si>
  <si>
    <t>דשבורד הישגים והשוואת כיתות — שכבה ו׳</t>
  </si>
  <si>
    <t>ו1</t>
  </si>
  <si>
    <t>ו2</t>
  </si>
  <si>
    <t>ו3</t>
  </si>
  <si>
    <t>ו4</t>
  </si>
  <si>
    <t>ו5</t>
  </si>
  <si>
    <t>אחוזי הצלחה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</si>
</sst>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1"/>
      <name val="Arial"/>
    </font>
    <font>
      <b/>
      <sz val="8"/>
      <color theme="1"/>
      <name val="Arial"/>
    </font>
    <font>
      <sz val="11"/>
      <color theme="1"/>
      <name val="Arial"/>
    </font>
    <font>
      <b/>
      <sz val="11"/>
      <color rgb="FFFFFFFF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5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165" fontId="6" fillId="0" borderId="0" xfId="0" applyNumberFormat="1" applyFont="1"/>
    <xf numFmtId="0" fontId="0" fillId="0" borderId="0" xfId="0"/>
    <xf numFmtId="1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9" fontId="8" fillId="3" borderId="7" xfId="0" applyNumberFormat="1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</cellXfs>
  <cellStyles count="1">
    <cellStyle name="Normal" xfId="0" builtinId="0"/>
  </cellStyles>
  <dxfs count="45"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008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008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008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008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0080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ציון לפי 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ממוצע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ו'!$A$9:$A$13</c:f>
              <c:strCache>
                <c:ptCount val="5"/>
                <c:pt idx="0">
                  <c:v>ו1</c:v>
                </c:pt>
                <c:pt idx="1">
                  <c:v>ו2</c:v>
                </c:pt>
                <c:pt idx="2">
                  <c:v>ו3</c:v>
                </c:pt>
                <c:pt idx="3">
                  <c:v>ו4</c:v>
                </c:pt>
                <c:pt idx="4">
                  <c:v>ו5</c:v>
                </c:pt>
              </c:strCache>
            </c:strRef>
          </c:cat>
          <c:val>
            <c:numRef>
              <c:f>'דשבורד שכבה ו'!$B$9:$B$13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2-43E8-8ADC-EAF8A937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7639196"/>
        <c:axId val="1068873403"/>
      </c:barChart>
      <c:catAx>
        <c:axId val="1197639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068873403"/>
        <c:crosses val="autoZero"/>
        <c:auto val="1"/>
        <c:lblAlgn val="ctr"/>
        <c:lblOffset val="100"/>
        <c:noMultiLvlLbl val="1"/>
      </c:catAx>
      <c:valAx>
        <c:axId val="1068873403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1976391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טווחי ציונים לפי כיתה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86–100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ו'!$A$9:$A$13</c:f>
              <c:strCache>
                <c:ptCount val="5"/>
                <c:pt idx="0">
                  <c:v>ו1</c:v>
                </c:pt>
                <c:pt idx="1">
                  <c:v>ו2</c:v>
                </c:pt>
                <c:pt idx="2">
                  <c:v>ו3</c:v>
                </c:pt>
                <c:pt idx="3">
                  <c:v>ו4</c:v>
                </c:pt>
                <c:pt idx="4">
                  <c:v>ו5</c:v>
                </c:pt>
              </c:strCache>
            </c:strRef>
          </c:cat>
          <c:val>
            <c:numRef>
              <c:f>'דשבורד שכבה ו'!$C$9:$C$13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42D-9088-E0000A54AFA6}"/>
            </c:ext>
          </c:extLst>
        </c:ser>
        <c:ser>
          <c:idx val="1"/>
          <c:order val="1"/>
          <c:tx>
            <c:v>70–85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ו'!$A$9:$A$13</c:f>
              <c:strCache>
                <c:ptCount val="5"/>
                <c:pt idx="0">
                  <c:v>ו1</c:v>
                </c:pt>
                <c:pt idx="1">
                  <c:v>ו2</c:v>
                </c:pt>
                <c:pt idx="2">
                  <c:v>ו3</c:v>
                </c:pt>
                <c:pt idx="3">
                  <c:v>ו4</c:v>
                </c:pt>
                <c:pt idx="4">
                  <c:v>ו5</c:v>
                </c:pt>
              </c:strCache>
            </c:strRef>
          </c:cat>
          <c:val>
            <c:numRef>
              <c:f>'דשבורד שכבה ו'!$D$9:$D$13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D-442D-9088-E0000A54AFA6}"/>
            </c:ext>
          </c:extLst>
        </c:ser>
        <c:ser>
          <c:idx val="2"/>
          <c:order val="2"/>
          <c:tx>
            <c:v>55–69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ו'!$A$9:$A$13</c:f>
              <c:strCache>
                <c:ptCount val="5"/>
                <c:pt idx="0">
                  <c:v>ו1</c:v>
                </c:pt>
                <c:pt idx="1">
                  <c:v>ו2</c:v>
                </c:pt>
                <c:pt idx="2">
                  <c:v>ו3</c:v>
                </c:pt>
                <c:pt idx="3">
                  <c:v>ו4</c:v>
                </c:pt>
                <c:pt idx="4">
                  <c:v>ו5</c:v>
                </c:pt>
              </c:strCache>
            </c:strRef>
          </c:cat>
          <c:val>
            <c:numRef>
              <c:f>'דשבורד שכבה ו'!$E$9:$E$13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D-442D-9088-E0000A54AFA6}"/>
            </c:ext>
          </c:extLst>
        </c:ser>
        <c:ser>
          <c:idx val="3"/>
          <c:order val="3"/>
          <c:tx>
            <c:v>0–54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ו'!$A$9:$A$13</c:f>
              <c:strCache>
                <c:ptCount val="5"/>
                <c:pt idx="0">
                  <c:v>ו1</c:v>
                </c:pt>
                <c:pt idx="1">
                  <c:v>ו2</c:v>
                </c:pt>
                <c:pt idx="2">
                  <c:v>ו3</c:v>
                </c:pt>
                <c:pt idx="3">
                  <c:v>ו4</c:v>
                </c:pt>
                <c:pt idx="4">
                  <c:v>ו5</c:v>
                </c:pt>
              </c:strCache>
            </c:strRef>
          </c:cat>
          <c:val>
            <c:numRef>
              <c:f>'דשבורד שכבה ו'!$F$9:$F$13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AD-442D-9088-E0000A54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302492"/>
        <c:axId val="1978529242"/>
      </c:barChart>
      <c:catAx>
        <c:axId val="63830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978529242"/>
        <c:crosses val="autoZero"/>
        <c:auto val="1"/>
        <c:lblAlgn val="ctr"/>
        <c:lblOffset val="100"/>
        <c:noMultiLvlLbl val="1"/>
      </c:catAx>
      <c:valAx>
        <c:axId val="197852924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63830249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נושא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ו1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חקר נתונים</c:v>
                </c:pt>
                <c:pt idx="5">
                  <c:v>מספרים עשרוניים</c:v>
                </c:pt>
                <c:pt idx="6">
                  <c:v>מצולעים</c:v>
                </c:pt>
                <c:pt idx="7">
                  <c:v>מדידות</c:v>
                </c:pt>
              </c:strCache>
            </c:strRef>
          </c:cat>
          <c:val>
            <c:numRef>
              <c:f>'דשבורד שכבה ו'!$B$18:$B$25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D-4E86-9FA7-AADBDB50BF61}"/>
            </c:ext>
          </c:extLst>
        </c:ser>
        <c:ser>
          <c:idx val="1"/>
          <c:order val="1"/>
          <c:tx>
            <c:v>ו2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חקר נתונים</c:v>
                </c:pt>
                <c:pt idx="5">
                  <c:v>מספרים עשרוניים</c:v>
                </c:pt>
                <c:pt idx="6">
                  <c:v>מצולעים</c:v>
                </c:pt>
                <c:pt idx="7">
                  <c:v>מדידות</c:v>
                </c:pt>
              </c:strCache>
            </c:strRef>
          </c:cat>
          <c:val>
            <c:numRef>
              <c:f>'דשבורד שכבה ו'!$C$18:$C$25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D-4E86-9FA7-AADBDB50BF61}"/>
            </c:ext>
          </c:extLst>
        </c:ser>
        <c:ser>
          <c:idx val="2"/>
          <c:order val="2"/>
          <c:tx>
            <c:v>ו3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חקר נתונים</c:v>
                </c:pt>
                <c:pt idx="5">
                  <c:v>מספרים עשרוניים</c:v>
                </c:pt>
                <c:pt idx="6">
                  <c:v>מצולעים</c:v>
                </c:pt>
                <c:pt idx="7">
                  <c:v>מדידות</c:v>
                </c:pt>
              </c:strCache>
            </c:strRef>
          </c:cat>
          <c:val>
            <c:numRef>
              <c:f>'דשבורד שכבה ו'!$D$18:$D$25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D-4E86-9FA7-AADBDB50BF61}"/>
            </c:ext>
          </c:extLst>
        </c:ser>
        <c:ser>
          <c:idx val="3"/>
          <c:order val="3"/>
          <c:tx>
            <c:v>ו4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חקר נתונים</c:v>
                </c:pt>
                <c:pt idx="5">
                  <c:v>מספרים עשרוניים</c:v>
                </c:pt>
                <c:pt idx="6">
                  <c:v>מצולעים</c:v>
                </c:pt>
                <c:pt idx="7">
                  <c:v>מדידות</c:v>
                </c:pt>
              </c:strCache>
            </c:strRef>
          </c:cat>
          <c:val>
            <c:numRef>
              <c:f>'דשבורד שכבה ו'!$E$18:$E$25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2D-4E86-9FA7-AADBDB50BF61}"/>
            </c:ext>
          </c:extLst>
        </c:ser>
        <c:ser>
          <c:idx val="4"/>
          <c:order val="4"/>
          <c:tx>
            <c:v>ו5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חקר נתונים</c:v>
                </c:pt>
                <c:pt idx="5">
                  <c:v>מספרים עשרוניים</c:v>
                </c:pt>
                <c:pt idx="6">
                  <c:v>מצולעים</c:v>
                </c:pt>
                <c:pt idx="7">
                  <c:v>מדידות</c:v>
                </c:pt>
              </c:strCache>
            </c:strRef>
          </c:cat>
          <c:val>
            <c:numRef>
              <c:f>'דשבורד שכבה ו'!$F$18:$F$25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D-4E86-9FA7-AADBDB50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12006"/>
        <c:axId val="1526509599"/>
      </c:barChart>
      <c:catAx>
        <c:axId val="175512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526509599"/>
        <c:crosses val="autoZero"/>
        <c:auto val="1"/>
        <c:lblAlgn val="ctr"/>
        <c:lblOffset val="100"/>
        <c:noMultiLvlLbl val="1"/>
      </c:catAx>
      <c:valAx>
        <c:axId val="1526509599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7551200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רמת חשיבה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ו1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ו'!$A$27:$A$29</c:f>
              <c:strCache>
                <c:ptCount val="3"/>
                <c:pt idx="0">
                  <c:v>חשיבה אלגוריתמית</c:v>
                </c:pt>
                <c:pt idx="1">
                  <c:v>חשיבה תהליכית</c:v>
                </c:pt>
                <c:pt idx="2">
                  <c:v>ידע וזיהוי</c:v>
                </c:pt>
              </c:strCache>
            </c:strRef>
          </c:cat>
          <c:val>
            <c:numRef>
              <c:f>'דשבורד שכבה ו'!$B$27:$B$29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0-4A69-8CFA-564ADCD1356F}"/>
            </c:ext>
          </c:extLst>
        </c:ser>
        <c:ser>
          <c:idx val="1"/>
          <c:order val="1"/>
          <c:tx>
            <c:v>ו2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ו'!$A$27:$A$29</c:f>
              <c:strCache>
                <c:ptCount val="3"/>
                <c:pt idx="0">
                  <c:v>חשיבה אלגוריתמית</c:v>
                </c:pt>
                <c:pt idx="1">
                  <c:v>חשיבה תהליכית</c:v>
                </c:pt>
                <c:pt idx="2">
                  <c:v>ידע וזיהוי</c:v>
                </c:pt>
              </c:strCache>
            </c:strRef>
          </c:cat>
          <c:val>
            <c:numRef>
              <c:f>'דשבורד שכבה ו'!$C$27:$C$29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0-4A69-8CFA-564ADCD1356F}"/>
            </c:ext>
          </c:extLst>
        </c:ser>
        <c:ser>
          <c:idx val="2"/>
          <c:order val="2"/>
          <c:tx>
            <c:v>ו3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ו'!$A$27:$A$29</c:f>
              <c:strCache>
                <c:ptCount val="3"/>
                <c:pt idx="0">
                  <c:v>חשיבה אלגוריתמית</c:v>
                </c:pt>
                <c:pt idx="1">
                  <c:v>חשיבה תהליכית</c:v>
                </c:pt>
                <c:pt idx="2">
                  <c:v>ידע וזיהוי</c:v>
                </c:pt>
              </c:strCache>
            </c:strRef>
          </c:cat>
          <c:val>
            <c:numRef>
              <c:f>'דשבורד שכבה ו'!$D$27:$D$29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0-4A69-8CFA-564ADCD1356F}"/>
            </c:ext>
          </c:extLst>
        </c:ser>
        <c:ser>
          <c:idx val="3"/>
          <c:order val="3"/>
          <c:tx>
            <c:v>ו4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ו'!$A$27:$A$29</c:f>
              <c:strCache>
                <c:ptCount val="3"/>
                <c:pt idx="0">
                  <c:v>חשיבה אלגוריתמית</c:v>
                </c:pt>
                <c:pt idx="1">
                  <c:v>חשיבה תהליכית</c:v>
                </c:pt>
                <c:pt idx="2">
                  <c:v>ידע וזיהוי</c:v>
                </c:pt>
              </c:strCache>
            </c:strRef>
          </c:cat>
          <c:val>
            <c:numRef>
              <c:f>'דשבורד שכבה ו'!$E$27:$E$29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B0-4A69-8CFA-564ADCD1356F}"/>
            </c:ext>
          </c:extLst>
        </c:ser>
        <c:ser>
          <c:idx val="4"/>
          <c:order val="4"/>
          <c:tx>
            <c:v>ו5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ו'!$A$27:$A$29</c:f>
              <c:strCache>
                <c:ptCount val="3"/>
                <c:pt idx="0">
                  <c:v>חשיבה אלגוריתמית</c:v>
                </c:pt>
                <c:pt idx="1">
                  <c:v>חשיבה תהליכית</c:v>
                </c:pt>
                <c:pt idx="2">
                  <c:v>ידע וזיהוי</c:v>
                </c:pt>
              </c:strCache>
            </c:strRef>
          </c:cat>
          <c:val>
            <c:numRef>
              <c:f>'דשבורד שכבה ו'!$F$27:$F$29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B0-4A69-8CFA-564ADCD13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897785"/>
        <c:axId val="226640408"/>
      </c:barChart>
      <c:catAx>
        <c:axId val="1278897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226640408"/>
        <c:crosses val="autoZero"/>
        <c:auto val="1"/>
        <c:lblAlgn val="ctr"/>
        <c:lblOffset val="100"/>
        <c:noMultiLvlLbl val="1"/>
      </c:catAx>
      <c:valAx>
        <c:axId val="22664040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2788977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943350" cy="2571750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0</xdr:colOff>
      <xdr:row>7</xdr:row>
      <xdr:rowOff>0</xdr:rowOff>
    </xdr:from>
    <xdr:ext cx="4600575" cy="2571750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0</xdr:rowOff>
    </xdr:from>
    <xdr:ext cx="9201150" cy="1885950"/>
    <xdr:graphicFrame macro="">
      <xdr:nvGraphicFramePr>
        <xdr:cNvPr id="15" name="Chart 15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9201150" cy="1714500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BE9F7"/>
  </sheetPr>
  <dimension ref="A1:AF1000"/>
  <sheetViews>
    <sheetView showGridLines="0" rightToLeft="1" workbookViewId="0">
      <pane xSplit="5" ySplit="6" topLeftCell="F34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17" width="6.75" customWidth="1"/>
    <col min="18" max="18" width="7.33203125" customWidth="1"/>
    <col min="19" max="22" width="6.75" customWidth="1"/>
    <col min="23" max="23" width="7.25" customWidth="1"/>
    <col min="24" max="24" width="8" customWidth="1"/>
    <col min="25" max="25" width="7.33203125" customWidth="1"/>
    <col min="26" max="26" width="7.75" customWidth="1"/>
    <col min="27" max="27" width="7.25" customWidth="1"/>
    <col min="28" max="31" width="6.75" customWidth="1"/>
    <col min="32" max="32" width="9" customWidth="1"/>
  </cols>
  <sheetData>
    <row r="1" spans="1:32" ht="41.25" customHeight="1" x14ac:dyDescent="0.3">
      <c r="A1" s="1"/>
      <c r="B1" s="2"/>
      <c r="C1" s="3"/>
      <c r="D1" s="28" t="s">
        <v>1</v>
      </c>
      <c r="E1" s="23"/>
      <c r="F1" s="19" t="s">
        <v>2</v>
      </c>
      <c r="G1" s="29" t="s">
        <v>5</v>
      </c>
      <c r="H1" s="30"/>
      <c r="I1" s="30"/>
      <c r="J1" s="31"/>
      <c r="K1" s="4" t="s">
        <v>5</v>
      </c>
      <c r="L1" s="4" t="s">
        <v>5</v>
      </c>
      <c r="M1" s="4" t="s">
        <v>5</v>
      </c>
      <c r="N1" s="32" t="s">
        <v>17</v>
      </c>
      <c r="O1" s="30"/>
      <c r="P1" s="30"/>
      <c r="Q1" s="31"/>
      <c r="R1" s="4" t="s">
        <v>19</v>
      </c>
      <c r="S1" s="32" t="s">
        <v>8</v>
      </c>
      <c r="T1" s="30"/>
      <c r="U1" s="30"/>
      <c r="V1" s="31"/>
      <c r="W1" s="4" t="s">
        <v>19</v>
      </c>
      <c r="X1" s="4" t="s">
        <v>37</v>
      </c>
      <c r="Y1" s="4" t="s">
        <v>19</v>
      </c>
      <c r="Z1" s="4" t="s">
        <v>37</v>
      </c>
      <c r="AA1" s="4" t="s">
        <v>17</v>
      </c>
      <c r="AB1" s="4" t="s">
        <v>9</v>
      </c>
      <c r="AC1" s="4" t="s">
        <v>9</v>
      </c>
      <c r="AD1" s="4" t="s">
        <v>46</v>
      </c>
      <c r="AE1" s="4" t="s">
        <v>46</v>
      </c>
      <c r="AF1" s="1"/>
    </row>
    <row r="2" spans="1:32" ht="13.5" customHeight="1" x14ac:dyDescent="0.3">
      <c r="A2" s="5"/>
      <c r="B2" s="6"/>
      <c r="C2" s="7"/>
      <c r="D2" s="27" t="s">
        <v>18</v>
      </c>
      <c r="E2" s="23"/>
      <c r="F2" s="8">
        <v>1</v>
      </c>
      <c r="G2" s="33">
        <v>2</v>
      </c>
      <c r="H2" s="30"/>
      <c r="I2" s="30"/>
      <c r="J2" s="31"/>
      <c r="K2" s="8">
        <v>3</v>
      </c>
      <c r="L2" s="8">
        <v>4</v>
      </c>
      <c r="M2" s="8">
        <v>5</v>
      </c>
      <c r="N2" s="33">
        <v>6</v>
      </c>
      <c r="O2" s="30"/>
      <c r="P2" s="30"/>
      <c r="Q2" s="31"/>
      <c r="R2" s="8">
        <v>7</v>
      </c>
      <c r="S2" s="33">
        <v>8</v>
      </c>
      <c r="T2" s="30"/>
      <c r="U2" s="30"/>
      <c r="V2" s="31"/>
      <c r="W2" s="8">
        <v>9</v>
      </c>
      <c r="X2" s="8">
        <v>10</v>
      </c>
      <c r="Y2" s="8">
        <v>11</v>
      </c>
      <c r="Z2" s="8">
        <v>12</v>
      </c>
      <c r="AA2" s="8">
        <v>13</v>
      </c>
      <c r="AB2" s="8">
        <v>14</v>
      </c>
      <c r="AC2" s="8">
        <v>15</v>
      </c>
      <c r="AD2" s="8">
        <v>16</v>
      </c>
      <c r="AE2" s="8">
        <v>17</v>
      </c>
      <c r="AF2" s="5"/>
    </row>
    <row r="3" spans="1:32" ht="13.5" customHeight="1" x14ac:dyDescent="0.3">
      <c r="A3" s="5"/>
      <c r="B3" s="6"/>
      <c r="C3" s="7"/>
      <c r="D3" s="27" t="s">
        <v>21</v>
      </c>
      <c r="E3" s="23"/>
      <c r="F3" s="8">
        <v>1</v>
      </c>
      <c r="G3" s="8" t="s">
        <v>23</v>
      </c>
      <c r="H3" s="8" t="s">
        <v>24</v>
      </c>
      <c r="I3" s="8" t="s">
        <v>66</v>
      </c>
      <c r="J3" s="8" t="s">
        <v>67</v>
      </c>
      <c r="K3" s="8">
        <v>3</v>
      </c>
      <c r="L3" s="8">
        <v>4</v>
      </c>
      <c r="M3" s="8">
        <v>5</v>
      </c>
      <c r="N3" s="20" t="s">
        <v>25</v>
      </c>
      <c r="O3" s="8" t="s">
        <v>26</v>
      </c>
      <c r="P3" s="8" t="s">
        <v>68</v>
      </c>
      <c r="Q3" s="8" t="s">
        <v>69</v>
      </c>
      <c r="R3" s="8">
        <v>7</v>
      </c>
      <c r="S3" s="8" t="s">
        <v>70</v>
      </c>
      <c r="T3" s="8" t="s">
        <v>71</v>
      </c>
      <c r="U3" s="8" t="s">
        <v>72</v>
      </c>
      <c r="V3" s="8" t="s">
        <v>73</v>
      </c>
      <c r="W3" s="8">
        <v>9</v>
      </c>
      <c r="X3" s="8">
        <v>10</v>
      </c>
      <c r="Y3" s="8">
        <v>11</v>
      </c>
      <c r="Z3" s="8">
        <v>12</v>
      </c>
      <c r="AA3" s="8">
        <v>13</v>
      </c>
      <c r="AB3" s="8">
        <v>14</v>
      </c>
      <c r="AC3" s="8">
        <v>15</v>
      </c>
      <c r="AD3" s="8">
        <v>16</v>
      </c>
      <c r="AE3" s="8">
        <v>17</v>
      </c>
      <c r="AF3" s="5"/>
    </row>
    <row r="4" spans="1:32" ht="13.5" customHeight="1" x14ac:dyDescent="0.3">
      <c r="A4" s="9"/>
      <c r="B4" s="10"/>
      <c r="C4" s="11"/>
      <c r="D4" s="28" t="s">
        <v>29</v>
      </c>
      <c r="E4" s="23"/>
      <c r="F4" s="12" t="s">
        <v>14</v>
      </c>
      <c r="G4" s="12" t="s">
        <v>12</v>
      </c>
      <c r="H4" s="12" t="s">
        <v>11</v>
      </c>
      <c r="I4" s="12" t="s">
        <v>15</v>
      </c>
      <c r="J4" s="12" t="s">
        <v>6</v>
      </c>
      <c r="K4" s="12" t="s">
        <v>27</v>
      </c>
      <c r="L4" s="12" t="s">
        <v>28</v>
      </c>
      <c r="M4" s="12" t="s">
        <v>16</v>
      </c>
      <c r="N4" s="12" t="s">
        <v>10</v>
      </c>
      <c r="O4" s="12" t="s">
        <v>10</v>
      </c>
      <c r="P4" s="12" t="s">
        <v>11</v>
      </c>
      <c r="Q4" s="12" t="s">
        <v>30</v>
      </c>
      <c r="R4" s="12" t="s">
        <v>31</v>
      </c>
      <c r="S4" s="12" t="s">
        <v>32</v>
      </c>
      <c r="T4" s="12" t="s">
        <v>32</v>
      </c>
      <c r="U4" s="12" t="s">
        <v>32</v>
      </c>
      <c r="V4" s="12" t="s">
        <v>34</v>
      </c>
      <c r="W4" s="12" t="s">
        <v>35</v>
      </c>
      <c r="X4" s="12" t="s">
        <v>38</v>
      </c>
      <c r="Y4" s="12" t="s">
        <v>40</v>
      </c>
      <c r="Z4" s="12" t="s">
        <v>13</v>
      </c>
      <c r="AA4" s="12" t="s">
        <v>20</v>
      </c>
      <c r="AB4" s="12" t="s">
        <v>44</v>
      </c>
      <c r="AC4" s="12" t="s">
        <v>45</v>
      </c>
      <c r="AD4" s="12" t="s">
        <v>47</v>
      </c>
      <c r="AE4" s="12" t="s">
        <v>48</v>
      </c>
      <c r="AF4" s="9"/>
    </row>
    <row r="5" spans="1:32" ht="13.5" customHeight="1" x14ac:dyDescent="0.3">
      <c r="A5" s="9"/>
      <c r="B5" s="10"/>
      <c r="C5" s="11"/>
      <c r="D5" s="28" t="s">
        <v>33</v>
      </c>
      <c r="E5" s="23"/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7</v>
      </c>
      <c r="L5" s="12" t="s">
        <v>7</v>
      </c>
      <c r="M5" s="12" t="s">
        <v>7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7</v>
      </c>
      <c r="S5" s="12" t="s">
        <v>3</v>
      </c>
      <c r="T5" s="12" t="s">
        <v>3</v>
      </c>
      <c r="U5" s="12" t="s">
        <v>3</v>
      </c>
      <c r="V5" s="12" t="s">
        <v>7</v>
      </c>
      <c r="W5" s="12" t="s">
        <v>3</v>
      </c>
      <c r="X5" s="12" t="s">
        <v>3</v>
      </c>
      <c r="Y5" s="12" t="s">
        <v>3</v>
      </c>
      <c r="Z5" s="12" t="s">
        <v>4</v>
      </c>
      <c r="AA5" s="12" t="s">
        <v>7</v>
      </c>
      <c r="AB5" s="12" t="s">
        <v>3</v>
      </c>
      <c r="AC5" s="12" t="s">
        <v>3</v>
      </c>
      <c r="AD5" s="12" t="s">
        <v>4</v>
      </c>
      <c r="AE5" s="12" t="s">
        <v>7</v>
      </c>
      <c r="AF5" s="9"/>
    </row>
    <row r="6" spans="1:32" ht="13.5" customHeight="1" x14ac:dyDescent="0.3">
      <c r="A6" s="13" t="s">
        <v>36</v>
      </c>
      <c r="B6" s="14" t="s">
        <v>39</v>
      </c>
      <c r="C6" s="15" t="s">
        <v>41</v>
      </c>
      <c r="D6" s="14" t="s">
        <v>0</v>
      </c>
      <c r="E6" s="14" t="s">
        <v>42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43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4" t="s">
        <v>49</v>
      </c>
    </row>
    <row r="7" spans="1:32" ht="13.5" customHeight="1" x14ac:dyDescent="0.3">
      <c r="A7" s="17">
        <v>1</v>
      </c>
      <c r="B7" s="14"/>
      <c r="C7" s="15"/>
      <c r="D7" s="14" t="s">
        <v>22</v>
      </c>
      <c r="E7" s="14">
        <v>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">
        <f t="shared" ref="AF7:AF43" si="0">SUM(F7:AE7)</f>
        <v>0</v>
      </c>
    </row>
    <row r="8" spans="1:32" ht="13.5" customHeight="1" x14ac:dyDescent="0.3">
      <c r="A8" s="17">
        <v>2</v>
      </c>
      <c r="B8" s="14"/>
      <c r="C8" s="15"/>
      <c r="D8" s="14" t="s">
        <v>22</v>
      </c>
      <c r="E8" s="14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>
        <f t="shared" si="0"/>
        <v>0</v>
      </c>
    </row>
    <row r="9" spans="1:32" ht="13.5" customHeight="1" x14ac:dyDescent="0.3">
      <c r="A9" s="17">
        <v>3</v>
      </c>
      <c r="B9" s="14"/>
      <c r="C9" s="15"/>
      <c r="D9" s="14" t="s">
        <v>22</v>
      </c>
      <c r="E9" s="14">
        <v>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">
        <f t="shared" si="0"/>
        <v>0</v>
      </c>
    </row>
    <row r="10" spans="1:32" ht="13.5" customHeight="1" x14ac:dyDescent="0.3">
      <c r="A10" s="17">
        <v>4</v>
      </c>
      <c r="B10" s="14"/>
      <c r="C10" s="15"/>
      <c r="D10" s="14" t="s">
        <v>22</v>
      </c>
      <c r="E10" s="14">
        <v>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">
        <f t="shared" si="0"/>
        <v>0</v>
      </c>
    </row>
    <row r="11" spans="1:32" ht="13.5" customHeight="1" x14ac:dyDescent="0.3">
      <c r="A11" s="17">
        <v>5</v>
      </c>
      <c r="B11" s="14"/>
      <c r="C11" s="15"/>
      <c r="D11" s="14" t="s">
        <v>22</v>
      </c>
      <c r="E11" s="14">
        <v>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">
        <f t="shared" si="0"/>
        <v>0</v>
      </c>
    </row>
    <row r="12" spans="1:32" ht="13.5" customHeight="1" x14ac:dyDescent="0.3">
      <c r="A12" s="17">
        <v>6</v>
      </c>
      <c r="B12" s="14"/>
      <c r="C12" s="15"/>
      <c r="D12" s="14" t="s">
        <v>22</v>
      </c>
      <c r="E12" s="14">
        <v>1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>
        <f t="shared" si="0"/>
        <v>0</v>
      </c>
    </row>
    <row r="13" spans="1:32" ht="13.5" customHeight="1" x14ac:dyDescent="0.3">
      <c r="A13" s="17">
        <v>7</v>
      </c>
      <c r="B13" s="14"/>
      <c r="C13" s="15"/>
      <c r="D13" s="14" t="s">
        <v>22</v>
      </c>
      <c r="E13" s="14">
        <v>1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">
        <f t="shared" si="0"/>
        <v>0</v>
      </c>
    </row>
    <row r="14" spans="1:32" ht="13.5" customHeight="1" x14ac:dyDescent="0.3">
      <c r="A14" s="17">
        <v>8</v>
      </c>
      <c r="B14" s="14"/>
      <c r="C14" s="15"/>
      <c r="D14" s="14" t="s">
        <v>22</v>
      </c>
      <c r="E14" s="14">
        <v>1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">
        <f t="shared" si="0"/>
        <v>0</v>
      </c>
    </row>
    <row r="15" spans="1:32" ht="13.5" customHeight="1" x14ac:dyDescent="0.3">
      <c r="A15" s="17">
        <v>9</v>
      </c>
      <c r="B15" s="14"/>
      <c r="C15" s="15"/>
      <c r="D15" s="14" t="s">
        <v>22</v>
      </c>
      <c r="E15" s="14">
        <v>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">
        <f t="shared" si="0"/>
        <v>0</v>
      </c>
    </row>
    <row r="16" spans="1:32" ht="13.5" customHeight="1" x14ac:dyDescent="0.3">
      <c r="A16" s="17">
        <v>10</v>
      </c>
      <c r="B16" s="14"/>
      <c r="C16" s="15"/>
      <c r="D16" s="14" t="s">
        <v>22</v>
      </c>
      <c r="E16" s="14">
        <v>1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>
        <f t="shared" si="0"/>
        <v>0</v>
      </c>
    </row>
    <row r="17" spans="1:32" ht="13.5" customHeight="1" x14ac:dyDescent="0.3">
      <c r="A17" s="17">
        <v>11</v>
      </c>
      <c r="B17" s="14"/>
      <c r="C17" s="15"/>
      <c r="D17" s="14" t="s">
        <v>22</v>
      </c>
      <c r="E17" s="14">
        <v>1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">
        <f t="shared" si="0"/>
        <v>0</v>
      </c>
    </row>
    <row r="18" spans="1:32" ht="13.5" customHeight="1" x14ac:dyDescent="0.3">
      <c r="A18" s="17">
        <v>12</v>
      </c>
      <c r="B18" s="14"/>
      <c r="C18" s="15"/>
      <c r="D18" s="14" t="s">
        <v>22</v>
      </c>
      <c r="E18" s="14">
        <v>1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">
        <f t="shared" si="0"/>
        <v>0</v>
      </c>
    </row>
    <row r="19" spans="1:32" ht="13.5" customHeight="1" x14ac:dyDescent="0.3">
      <c r="A19" s="17">
        <v>13</v>
      </c>
      <c r="B19" s="14"/>
      <c r="C19" s="15"/>
      <c r="D19" s="14" t="s">
        <v>22</v>
      </c>
      <c r="E19" s="14">
        <v>1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">
        <f t="shared" si="0"/>
        <v>0</v>
      </c>
    </row>
    <row r="20" spans="1:32" ht="13.5" customHeight="1" x14ac:dyDescent="0.3">
      <c r="A20" s="17">
        <v>14</v>
      </c>
      <c r="B20" s="14"/>
      <c r="C20" s="15"/>
      <c r="D20" s="14" t="s">
        <v>22</v>
      </c>
      <c r="E20" s="14">
        <v>1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">
        <f t="shared" si="0"/>
        <v>0</v>
      </c>
    </row>
    <row r="21" spans="1:32" ht="13.5" customHeight="1" x14ac:dyDescent="0.3">
      <c r="A21" s="17">
        <v>15</v>
      </c>
      <c r="B21" s="14"/>
      <c r="C21" s="15"/>
      <c r="D21" s="14" t="s">
        <v>22</v>
      </c>
      <c r="E21" s="14">
        <v>1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">
        <f t="shared" si="0"/>
        <v>0</v>
      </c>
    </row>
    <row r="22" spans="1:32" ht="13.5" customHeight="1" x14ac:dyDescent="0.3">
      <c r="A22" s="17">
        <v>16</v>
      </c>
      <c r="B22" s="14"/>
      <c r="C22" s="15"/>
      <c r="D22" s="14" t="s">
        <v>22</v>
      </c>
      <c r="E22" s="14">
        <v>1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">
        <f t="shared" si="0"/>
        <v>0</v>
      </c>
    </row>
    <row r="23" spans="1:32" ht="13.5" customHeight="1" x14ac:dyDescent="0.3">
      <c r="A23" s="17">
        <v>17</v>
      </c>
      <c r="B23" s="14"/>
      <c r="C23" s="15"/>
      <c r="D23" s="14" t="s">
        <v>22</v>
      </c>
      <c r="E23" s="14">
        <v>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">
        <f t="shared" si="0"/>
        <v>0</v>
      </c>
    </row>
    <row r="24" spans="1:32" ht="13.5" customHeight="1" x14ac:dyDescent="0.3">
      <c r="A24" s="17">
        <v>18</v>
      </c>
      <c r="B24" s="14"/>
      <c r="C24" s="15"/>
      <c r="D24" s="14" t="s">
        <v>22</v>
      </c>
      <c r="E24" s="14">
        <v>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">
        <f t="shared" si="0"/>
        <v>0</v>
      </c>
    </row>
    <row r="25" spans="1:32" ht="13.5" customHeight="1" x14ac:dyDescent="0.3">
      <c r="A25" s="17">
        <v>19</v>
      </c>
      <c r="B25" s="14"/>
      <c r="C25" s="15"/>
      <c r="D25" s="14" t="s">
        <v>22</v>
      </c>
      <c r="E25" s="14">
        <v>1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">
        <f t="shared" si="0"/>
        <v>0</v>
      </c>
    </row>
    <row r="26" spans="1:32" ht="13.5" customHeight="1" x14ac:dyDescent="0.3">
      <c r="A26" s="17">
        <v>20</v>
      </c>
      <c r="B26" s="14"/>
      <c r="C26" s="15"/>
      <c r="D26" s="14" t="s">
        <v>22</v>
      </c>
      <c r="E26" s="14">
        <v>1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">
        <f t="shared" si="0"/>
        <v>0</v>
      </c>
    </row>
    <row r="27" spans="1:32" ht="13.5" customHeight="1" x14ac:dyDescent="0.3">
      <c r="A27" s="17">
        <v>21</v>
      </c>
      <c r="B27" s="14"/>
      <c r="C27" s="15"/>
      <c r="D27" s="14" t="s">
        <v>22</v>
      </c>
      <c r="E27" s="14">
        <v>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">
        <f t="shared" si="0"/>
        <v>0</v>
      </c>
    </row>
    <row r="28" spans="1:32" ht="13.5" customHeight="1" x14ac:dyDescent="0.3">
      <c r="A28" s="17">
        <v>22</v>
      </c>
      <c r="B28" s="14"/>
      <c r="C28" s="15"/>
      <c r="D28" s="14" t="s">
        <v>22</v>
      </c>
      <c r="E28" s="14">
        <v>1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">
        <f t="shared" si="0"/>
        <v>0</v>
      </c>
    </row>
    <row r="29" spans="1:32" ht="13.5" customHeight="1" x14ac:dyDescent="0.3">
      <c r="A29" s="17">
        <v>23</v>
      </c>
      <c r="B29" s="14"/>
      <c r="C29" s="15"/>
      <c r="D29" s="14" t="s">
        <v>22</v>
      </c>
      <c r="E29" s="14">
        <v>1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">
        <f t="shared" si="0"/>
        <v>0</v>
      </c>
    </row>
    <row r="30" spans="1:32" ht="13.5" customHeight="1" x14ac:dyDescent="0.3">
      <c r="A30" s="17">
        <v>24</v>
      </c>
      <c r="B30" s="14"/>
      <c r="C30" s="15"/>
      <c r="D30" s="14" t="s">
        <v>22</v>
      </c>
      <c r="E30" s="14"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">
        <f t="shared" si="0"/>
        <v>0</v>
      </c>
    </row>
    <row r="31" spans="1:32" ht="13.5" customHeight="1" x14ac:dyDescent="0.3">
      <c r="A31" s="17">
        <v>25</v>
      </c>
      <c r="B31" s="14"/>
      <c r="C31" s="15"/>
      <c r="D31" s="14" t="s">
        <v>22</v>
      </c>
      <c r="E31" s="14">
        <v>1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">
        <f t="shared" si="0"/>
        <v>0</v>
      </c>
    </row>
    <row r="32" spans="1:32" ht="13.5" customHeight="1" x14ac:dyDescent="0.3">
      <c r="A32" s="17">
        <v>26</v>
      </c>
      <c r="B32" s="14"/>
      <c r="C32" s="15"/>
      <c r="D32" s="14" t="s">
        <v>22</v>
      </c>
      <c r="E32" s="14">
        <v>1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">
        <f t="shared" si="0"/>
        <v>0</v>
      </c>
    </row>
    <row r="33" spans="1:32" ht="13.5" customHeight="1" x14ac:dyDescent="0.3">
      <c r="A33" s="17">
        <v>27</v>
      </c>
      <c r="B33" s="14"/>
      <c r="C33" s="15"/>
      <c r="D33" s="14" t="s">
        <v>22</v>
      </c>
      <c r="E33" s="14">
        <v>1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">
        <f t="shared" si="0"/>
        <v>0</v>
      </c>
    </row>
    <row r="34" spans="1:32" ht="13.5" customHeight="1" x14ac:dyDescent="0.3">
      <c r="A34" s="17">
        <v>28</v>
      </c>
      <c r="B34" s="14"/>
      <c r="C34" s="15"/>
      <c r="D34" s="14" t="s">
        <v>22</v>
      </c>
      <c r="E34" s="14">
        <v>1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">
        <f t="shared" si="0"/>
        <v>0</v>
      </c>
    </row>
    <row r="35" spans="1:32" ht="13.5" customHeight="1" x14ac:dyDescent="0.3">
      <c r="A35" s="17">
        <v>29</v>
      </c>
      <c r="B35" s="14"/>
      <c r="C35" s="15"/>
      <c r="D35" s="14" t="s">
        <v>22</v>
      </c>
      <c r="E35" s="14">
        <v>1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">
        <f t="shared" si="0"/>
        <v>0</v>
      </c>
    </row>
    <row r="36" spans="1:32" ht="13.5" customHeight="1" x14ac:dyDescent="0.3">
      <c r="A36" s="17">
        <v>30</v>
      </c>
      <c r="B36" s="14"/>
      <c r="C36" s="15"/>
      <c r="D36" s="14" t="s">
        <v>22</v>
      </c>
      <c r="E36" s="14">
        <v>1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">
        <f t="shared" si="0"/>
        <v>0</v>
      </c>
    </row>
    <row r="37" spans="1:32" ht="13.5" customHeight="1" x14ac:dyDescent="0.3">
      <c r="A37" s="17">
        <v>31</v>
      </c>
      <c r="B37" s="14"/>
      <c r="C37" s="15"/>
      <c r="D37" s="14" t="s">
        <v>22</v>
      </c>
      <c r="E37" s="14">
        <v>1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">
        <f t="shared" si="0"/>
        <v>0</v>
      </c>
    </row>
    <row r="38" spans="1:32" ht="13.5" customHeight="1" x14ac:dyDescent="0.3">
      <c r="A38" s="17">
        <v>32</v>
      </c>
      <c r="B38" s="14"/>
      <c r="C38" s="15"/>
      <c r="D38" s="14" t="s">
        <v>22</v>
      </c>
      <c r="E38" s="14">
        <v>1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">
        <f t="shared" si="0"/>
        <v>0</v>
      </c>
    </row>
    <row r="39" spans="1:32" ht="13.5" customHeight="1" x14ac:dyDescent="0.3">
      <c r="A39" s="17">
        <v>33</v>
      </c>
      <c r="B39" s="14"/>
      <c r="C39" s="15"/>
      <c r="D39" s="14" t="s">
        <v>22</v>
      </c>
      <c r="E39" s="14">
        <v>1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>
        <f t="shared" si="0"/>
        <v>0</v>
      </c>
    </row>
    <row r="40" spans="1:32" ht="13.5" customHeight="1" x14ac:dyDescent="0.3">
      <c r="A40" s="17">
        <v>34</v>
      </c>
      <c r="B40" s="14"/>
      <c r="C40" s="15"/>
      <c r="D40" s="14" t="s">
        <v>22</v>
      </c>
      <c r="E40" s="14">
        <v>1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">
        <f t="shared" si="0"/>
        <v>0</v>
      </c>
    </row>
    <row r="41" spans="1:32" ht="13.5" customHeight="1" x14ac:dyDescent="0.3">
      <c r="A41" s="17">
        <v>35</v>
      </c>
      <c r="B41" s="14"/>
      <c r="C41" s="15"/>
      <c r="D41" s="14" t="s">
        <v>22</v>
      </c>
      <c r="E41" s="14">
        <v>1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">
        <f t="shared" si="0"/>
        <v>0</v>
      </c>
    </row>
    <row r="42" spans="1:32" ht="13.5" customHeight="1" x14ac:dyDescent="0.3">
      <c r="A42" s="17">
        <v>36</v>
      </c>
      <c r="B42" s="14"/>
      <c r="C42" s="15"/>
      <c r="D42" s="14" t="s">
        <v>22</v>
      </c>
      <c r="E42" s="14">
        <v>1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">
        <f t="shared" si="0"/>
        <v>0</v>
      </c>
    </row>
    <row r="43" spans="1:32" ht="13.5" customHeight="1" x14ac:dyDescent="0.3">
      <c r="A43" s="17">
        <v>37</v>
      </c>
      <c r="B43" s="14"/>
      <c r="C43" s="15"/>
      <c r="D43" s="14" t="s">
        <v>22</v>
      </c>
      <c r="E43" s="14">
        <v>1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>
        <f t="shared" si="0"/>
        <v>0</v>
      </c>
    </row>
    <row r="44" spans="1:32" ht="14" x14ac:dyDescent="0.3">
      <c r="C44" s="34" t="s">
        <v>80</v>
      </c>
      <c r="D44" s="34"/>
      <c r="E44" s="34"/>
      <c r="F44" s="36">
        <f>IFERROR(AVERAGE(F$7:F$43),0)</f>
        <v>0</v>
      </c>
      <c r="G44" s="36">
        <f t="shared" ref="G44:AE44" si="1">IFERROR(AVERAGE(G$7:G$43),0)</f>
        <v>0</v>
      </c>
      <c r="H44" s="36">
        <f t="shared" si="1"/>
        <v>0</v>
      </c>
      <c r="I44" s="36">
        <f t="shared" si="1"/>
        <v>0</v>
      </c>
      <c r="J44" s="36">
        <f t="shared" si="1"/>
        <v>0</v>
      </c>
      <c r="K44" s="36">
        <f t="shared" si="1"/>
        <v>0</v>
      </c>
      <c r="L44" s="36">
        <f t="shared" si="1"/>
        <v>0</v>
      </c>
      <c r="M44" s="36">
        <f t="shared" si="1"/>
        <v>0</v>
      </c>
      <c r="N44" s="36">
        <f t="shared" si="1"/>
        <v>0</v>
      </c>
      <c r="O44" s="36">
        <f t="shared" si="1"/>
        <v>0</v>
      </c>
      <c r="P44" s="36">
        <f t="shared" si="1"/>
        <v>0</v>
      </c>
      <c r="Q44" s="36">
        <f t="shared" si="1"/>
        <v>0</v>
      </c>
      <c r="R44" s="36">
        <f t="shared" si="1"/>
        <v>0</v>
      </c>
      <c r="S44" s="36">
        <f t="shared" si="1"/>
        <v>0</v>
      </c>
      <c r="T44" s="36">
        <f t="shared" si="1"/>
        <v>0</v>
      </c>
      <c r="U44" s="36">
        <f t="shared" si="1"/>
        <v>0</v>
      </c>
      <c r="V44" s="36">
        <f t="shared" si="1"/>
        <v>0</v>
      </c>
      <c r="W44" s="36">
        <f t="shared" si="1"/>
        <v>0</v>
      </c>
      <c r="X44" s="36">
        <f t="shared" si="1"/>
        <v>0</v>
      </c>
      <c r="Y44" s="36">
        <f t="shared" si="1"/>
        <v>0</v>
      </c>
      <c r="Z44" s="36">
        <f t="shared" si="1"/>
        <v>0</v>
      </c>
      <c r="AA44" s="36">
        <f t="shared" si="1"/>
        <v>0</v>
      </c>
      <c r="AB44" s="36">
        <f t="shared" si="1"/>
        <v>0</v>
      </c>
      <c r="AC44" s="36">
        <f t="shared" si="1"/>
        <v>0</v>
      </c>
      <c r="AD44" s="36">
        <f t="shared" si="1"/>
        <v>0</v>
      </c>
      <c r="AE44" s="36">
        <f t="shared" si="1"/>
        <v>0</v>
      </c>
    </row>
    <row r="45" spans="1:32" ht="13.5" customHeight="1" x14ac:dyDescent="0.3"/>
    <row r="46" spans="1:32" ht="13.5" customHeight="1" x14ac:dyDescent="0.3"/>
    <row r="47" spans="1:32" ht="13.5" customHeight="1" x14ac:dyDescent="0.3"/>
    <row r="48" spans="1:3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2">
    <mergeCell ref="C44:E44"/>
    <mergeCell ref="G1:J1"/>
    <mergeCell ref="N1:Q1"/>
    <mergeCell ref="S1:V1"/>
    <mergeCell ref="G2:J2"/>
    <mergeCell ref="N2:Q2"/>
    <mergeCell ref="S2:V2"/>
    <mergeCell ref="D2:E2"/>
    <mergeCell ref="D3:E3"/>
    <mergeCell ref="D4:E4"/>
    <mergeCell ref="D5:E5"/>
    <mergeCell ref="D1:E1"/>
  </mergeCells>
  <conditionalFormatting sqref="F7:AE43">
    <cfRule type="containsBlanks" dxfId="44" priority="1">
      <formula>LEN(TRIM(F7))=0</formula>
    </cfRule>
  </conditionalFormatting>
  <conditionalFormatting sqref="AF7:AF43">
    <cfRule type="cellIs" dxfId="19" priority="2" operator="between">
      <formula>86</formula>
      <formula>100</formula>
    </cfRule>
  </conditionalFormatting>
  <conditionalFormatting sqref="AF7:AF43">
    <cfRule type="cellIs" dxfId="18" priority="3" operator="between">
      <formula>70</formula>
      <formula>85</formula>
    </cfRule>
  </conditionalFormatting>
  <conditionalFormatting sqref="AF7:AF43">
    <cfRule type="cellIs" dxfId="17" priority="4" operator="between">
      <formula>55</formula>
      <formula>69</formula>
    </cfRule>
  </conditionalFormatting>
  <conditionalFormatting sqref="AF7:AF43">
    <cfRule type="cellIs" dxfId="16" priority="5" operator="between">
      <formula>0</formula>
      <formula>54</formula>
    </cfRule>
  </conditionalFormatting>
  <dataValidations count="6">
    <dataValidation type="list" allowBlank="1" showInputMessage="1" showErrorMessage="1" prompt="ניקוד מותר: 3 / 2 / 0" sqref="Z7:Z43" xr:uid="{00000000-0002-0000-1600-000000000000}">
      <formula1>"3,2,0"</formula1>
    </dataValidation>
    <dataValidation type="list" allowBlank="1" showInputMessage="1" showErrorMessage="1" prompt="ניקוד מותר: 6 / 3 / 0" sqref="K7:K43 Y7:Y43 AB7:AB43" xr:uid="{00000000-0002-0000-1600-000001000000}">
      <formula1>"6,3,0"</formula1>
    </dataValidation>
    <dataValidation type="list" allowBlank="1" showInputMessage="1" showErrorMessage="1" prompt="ניקוד מותר: 3 / 0" sqref="R7:R43 X7:X43" xr:uid="{00000000-0002-0000-1600-000002000000}">
      <formula1>"3,0"</formula1>
    </dataValidation>
    <dataValidation type="list" allowBlank="1" showInputMessage="1" showErrorMessage="1" prompt="ניקוד מותר: 4 / 0" sqref="F7:J43 L7:Q43 W7:W43 AA7:AA43 AC7:AD43" xr:uid="{00000000-0002-0000-1600-000003000000}">
      <formula1>"4,0"</formula1>
    </dataValidation>
    <dataValidation type="list" allowBlank="1" showInputMessage="1" showErrorMessage="1" prompt="ניקוד מותר: 2 / 0" sqref="S7:V43" xr:uid="{00000000-0002-0000-1600-000004000000}">
      <formula1>"2,0"</formula1>
    </dataValidation>
    <dataValidation type="list" allowBlank="1" showInputMessage="1" showErrorMessage="1" prompt="ניקוד מותר: 5 / 0" sqref="AE7:AE43" xr:uid="{00000000-0002-0000-1600-000005000000}">
      <formula1>"5,0"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BE9F7"/>
  </sheetPr>
  <dimension ref="A1:AF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17" width="6.75" customWidth="1"/>
    <col min="18" max="18" width="7.33203125" customWidth="1"/>
    <col min="19" max="22" width="6.75" customWidth="1"/>
    <col min="23" max="23" width="7.33203125" customWidth="1"/>
    <col min="24" max="24" width="8" customWidth="1"/>
    <col min="25" max="25" width="7.33203125" customWidth="1"/>
    <col min="26" max="26" width="7.75" customWidth="1"/>
    <col min="27" max="27" width="7.25" customWidth="1"/>
    <col min="28" max="31" width="6.75" customWidth="1"/>
    <col min="32" max="32" width="9" customWidth="1"/>
  </cols>
  <sheetData>
    <row r="1" spans="1:32" ht="41.25" customHeight="1" x14ac:dyDescent="0.3">
      <c r="A1" s="1"/>
      <c r="B1" s="2"/>
      <c r="C1" s="3"/>
      <c r="D1" s="28" t="s">
        <v>1</v>
      </c>
      <c r="E1" s="23"/>
      <c r="F1" s="19" t="s">
        <v>2</v>
      </c>
      <c r="G1" s="29" t="s">
        <v>5</v>
      </c>
      <c r="H1" s="30"/>
      <c r="I1" s="30"/>
      <c r="J1" s="31"/>
      <c r="K1" s="4" t="s">
        <v>5</v>
      </c>
      <c r="L1" s="4" t="s">
        <v>5</v>
      </c>
      <c r="M1" s="4" t="s">
        <v>5</v>
      </c>
      <c r="N1" s="32" t="s">
        <v>17</v>
      </c>
      <c r="O1" s="30"/>
      <c r="P1" s="30"/>
      <c r="Q1" s="31"/>
      <c r="R1" s="4" t="s">
        <v>19</v>
      </c>
      <c r="S1" s="32" t="s">
        <v>8</v>
      </c>
      <c r="T1" s="30"/>
      <c r="U1" s="30"/>
      <c r="V1" s="31"/>
      <c r="W1" s="4" t="s">
        <v>19</v>
      </c>
      <c r="X1" s="4" t="s">
        <v>37</v>
      </c>
      <c r="Y1" s="4" t="s">
        <v>19</v>
      </c>
      <c r="Z1" s="4" t="s">
        <v>37</v>
      </c>
      <c r="AA1" s="4" t="s">
        <v>17</v>
      </c>
      <c r="AB1" s="4" t="s">
        <v>9</v>
      </c>
      <c r="AC1" s="4" t="s">
        <v>9</v>
      </c>
      <c r="AD1" s="4" t="s">
        <v>46</v>
      </c>
      <c r="AE1" s="4" t="s">
        <v>46</v>
      </c>
      <c r="AF1" s="1"/>
    </row>
    <row r="2" spans="1:32" ht="13.5" customHeight="1" x14ac:dyDescent="0.3">
      <c r="A2" s="5"/>
      <c r="B2" s="6"/>
      <c r="C2" s="7"/>
      <c r="D2" s="27" t="s">
        <v>18</v>
      </c>
      <c r="E2" s="23"/>
      <c r="F2" s="8">
        <v>1</v>
      </c>
      <c r="G2" s="33">
        <v>2</v>
      </c>
      <c r="H2" s="30"/>
      <c r="I2" s="30"/>
      <c r="J2" s="31"/>
      <c r="K2" s="8">
        <v>3</v>
      </c>
      <c r="L2" s="8">
        <v>4</v>
      </c>
      <c r="M2" s="8">
        <v>5</v>
      </c>
      <c r="N2" s="33">
        <v>6</v>
      </c>
      <c r="O2" s="30"/>
      <c r="P2" s="30"/>
      <c r="Q2" s="31"/>
      <c r="R2" s="8">
        <v>7</v>
      </c>
      <c r="S2" s="33">
        <v>8</v>
      </c>
      <c r="T2" s="30"/>
      <c r="U2" s="30"/>
      <c r="V2" s="31"/>
      <c r="W2" s="8">
        <v>9</v>
      </c>
      <c r="X2" s="8">
        <v>10</v>
      </c>
      <c r="Y2" s="8">
        <v>11</v>
      </c>
      <c r="Z2" s="8">
        <v>12</v>
      </c>
      <c r="AA2" s="8">
        <v>13</v>
      </c>
      <c r="AB2" s="8">
        <v>14</v>
      </c>
      <c r="AC2" s="8">
        <v>15</v>
      </c>
      <c r="AD2" s="8">
        <v>16</v>
      </c>
      <c r="AE2" s="8">
        <v>17</v>
      </c>
      <c r="AF2" s="5"/>
    </row>
    <row r="3" spans="1:32" ht="13.5" customHeight="1" x14ac:dyDescent="0.3">
      <c r="A3" s="5"/>
      <c r="B3" s="6"/>
      <c r="C3" s="7"/>
      <c r="D3" s="27" t="s">
        <v>21</v>
      </c>
      <c r="E3" s="23"/>
      <c r="F3" s="8">
        <v>1</v>
      </c>
      <c r="G3" s="8" t="s">
        <v>23</v>
      </c>
      <c r="H3" s="8" t="s">
        <v>24</v>
      </c>
      <c r="I3" s="8" t="s">
        <v>66</v>
      </c>
      <c r="J3" s="8" t="s">
        <v>67</v>
      </c>
      <c r="K3" s="8">
        <v>3</v>
      </c>
      <c r="L3" s="8">
        <v>4</v>
      </c>
      <c r="M3" s="8">
        <v>5</v>
      </c>
      <c r="N3" s="20" t="s">
        <v>25</v>
      </c>
      <c r="O3" s="8" t="s">
        <v>26</v>
      </c>
      <c r="P3" s="8" t="s">
        <v>68</v>
      </c>
      <c r="Q3" s="8" t="s">
        <v>69</v>
      </c>
      <c r="R3" s="8">
        <v>7</v>
      </c>
      <c r="S3" s="8" t="s">
        <v>70</v>
      </c>
      <c r="T3" s="8" t="s">
        <v>71</v>
      </c>
      <c r="U3" s="8" t="s">
        <v>72</v>
      </c>
      <c r="V3" s="8" t="s">
        <v>73</v>
      </c>
      <c r="W3" s="8">
        <v>9</v>
      </c>
      <c r="X3" s="8">
        <v>10</v>
      </c>
      <c r="Y3" s="8">
        <v>11</v>
      </c>
      <c r="Z3" s="8">
        <v>12</v>
      </c>
      <c r="AA3" s="8">
        <v>13</v>
      </c>
      <c r="AB3" s="8">
        <v>14</v>
      </c>
      <c r="AC3" s="8">
        <v>15</v>
      </c>
      <c r="AD3" s="8">
        <v>16</v>
      </c>
      <c r="AE3" s="8">
        <v>17</v>
      </c>
      <c r="AF3" s="5"/>
    </row>
    <row r="4" spans="1:32" ht="13.5" customHeight="1" x14ac:dyDescent="0.3">
      <c r="A4" s="9"/>
      <c r="B4" s="10"/>
      <c r="C4" s="11"/>
      <c r="D4" s="28" t="s">
        <v>29</v>
      </c>
      <c r="E4" s="23"/>
      <c r="F4" s="12" t="s">
        <v>14</v>
      </c>
      <c r="G4" s="12" t="s">
        <v>12</v>
      </c>
      <c r="H4" s="12" t="s">
        <v>11</v>
      </c>
      <c r="I4" s="12" t="s">
        <v>15</v>
      </c>
      <c r="J4" s="12" t="s">
        <v>6</v>
      </c>
      <c r="K4" s="12" t="s">
        <v>27</v>
      </c>
      <c r="L4" s="12" t="s">
        <v>28</v>
      </c>
      <c r="M4" s="12" t="s">
        <v>16</v>
      </c>
      <c r="N4" s="12" t="s">
        <v>10</v>
      </c>
      <c r="O4" s="12" t="s">
        <v>10</v>
      </c>
      <c r="P4" s="12" t="s">
        <v>11</v>
      </c>
      <c r="Q4" s="12" t="s">
        <v>30</v>
      </c>
      <c r="R4" s="12" t="s">
        <v>31</v>
      </c>
      <c r="S4" s="12" t="s">
        <v>32</v>
      </c>
      <c r="T4" s="12" t="s">
        <v>32</v>
      </c>
      <c r="U4" s="12" t="s">
        <v>32</v>
      </c>
      <c r="V4" s="12" t="s">
        <v>34</v>
      </c>
      <c r="W4" s="12" t="s">
        <v>35</v>
      </c>
      <c r="X4" s="12" t="s">
        <v>38</v>
      </c>
      <c r="Y4" s="12" t="s">
        <v>40</v>
      </c>
      <c r="Z4" s="12" t="s">
        <v>13</v>
      </c>
      <c r="AA4" s="12" t="s">
        <v>20</v>
      </c>
      <c r="AB4" s="12" t="s">
        <v>44</v>
      </c>
      <c r="AC4" s="12" t="s">
        <v>45</v>
      </c>
      <c r="AD4" s="12" t="s">
        <v>47</v>
      </c>
      <c r="AE4" s="12" t="s">
        <v>48</v>
      </c>
      <c r="AF4" s="9"/>
    </row>
    <row r="5" spans="1:32" ht="13.5" customHeight="1" x14ac:dyDescent="0.3">
      <c r="A5" s="9"/>
      <c r="B5" s="10"/>
      <c r="C5" s="11"/>
      <c r="D5" s="28" t="s">
        <v>33</v>
      </c>
      <c r="E5" s="23"/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7</v>
      </c>
      <c r="L5" s="12" t="s">
        <v>7</v>
      </c>
      <c r="M5" s="12" t="s">
        <v>7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7</v>
      </c>
      <c r="S5" s="12" t="s">
        <v>3</v>
      </c>
      <c r="T5" s="12" t="s">
        <v>3</v>
      </c>
      <c r="U5" s="12" t="s">
        <v>3</v>
      </c>
      <c r="V5" s="12" t="s">
        <v>7</v>
      </c>
      <c r="W5" s="12" t="s">
        <v>3</v>
      </c>
      <c r="X5" s="12" t="s">
        <v>3</v>
      </c>
      <c r="Y5" s="12" t="s">
        <v>3</v>
      </c>
      <c r="Z5" s="12" t="s">
        <v>4</v>
      </c>
      <c r="AA5" s="12" t="s">
        <v>7</v>
      </c>
      <c r="AB5" s="12" t="s">
        <v>3</v>
      </c>
      <c r="AC5" s="12" t="s">
        <v>3</v>
      </c>
      <c r="AD5" s="12" t="s">
        <v>4</v>
      </c>
      <c r="AE5" s="12" t="s">
        <v>7</v>
      </c>
      <c r="AF5" s="9"/>
    </row>
    <row r="6" spans="1:32" ht="13.5" customHeight="1" x14ac:dyDescent="0.3">
      <c r="A6" s="13" t="s">
        <v>36</v>
      </c>
      <c r="B6" s="14" t="s">
        <v>39</v>
      </c>
      <c r="C6" s="15" t="s">
        <v>41</v>
      </c>
      <c r="D6" s="14" t="s">
        <v>0</v>
      </c>
      <c r="E6" s="14" t="s">
        <v>42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43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4" t="s">
        <v>49</v>
      </c>
    </row>
    <row r="7" spans="1:32" ht="13.5" customHeight="1" x14ac:dyDescent="0.3">
      <c r="A7" s="17">
        <v>1</v>
      </c>
      <c r="B7" s="14"/>
      <c r="C7" s="15"/>
      <c r="D7" s="14" t="s">
        <v>22</v>
      </c>
      <c r="E7" s="14">
        <v>2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">
        <f t="shared" ref="AF7:AF43" si="0">SUM(F7:AE7)</f>
        <v>0</v>
      </c>
    </row>
    <row r="8" spans="1:32" ht="13.5" customHeight="1" x14ac:dyDescent="0.3">
      <c r="A8" s="17">
        <v>2</v>
      </c>
      <c r="B8" s="14"/>
      <c r="C8" s="15"/>
      <c r="D8" s="14" t="s">
        <v>22</v>
      </c>
      <c r="E8" s="14">
        <v>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>
        <f t="shared" si="0"/>
        <v>0</v>
      </c>
    </row>
    <row r="9" spans="1:32" ht="13.5" customHeight="1" x14ac:dyDescent="0.3">
      <c r="A9" s="17">
        <v>3</v>
      </c>
      <c r="B9" s="14"/>
      <c r="C9" s="15"/>
      <c r="D9" s="14" t="s">
        <v>22</v>
      </c>
      <c r="E9" s="14">
        <v>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">
        <f t="shared" si="0"/>
        <v>0</v>
      </c>
    </row>
    <row r="10" spans="1:32" ht="13.5" customHeight="1" x14ac:dyDescent="0.3">
      <c r="A10" s="17">
        <v>4</v>
      </c>
      <c r="B10" s="14"/>
      <c r="C10" s="15"/>
      <c r="D10" s="14" t="s">
        <v>22</v>
      </c>
      <c r="E10" s="14">
        <v>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">
        <f t="shared" si="0"/>
        <v>0</v>
      </c>
    </row>
    <row r="11" spans="1:32" ht="13.5" customHeight="1" x14ac:dyDescent="0.3">
      <c r="A11" s="17">
        <v>5</v>
      </c>
      <c r="B11" s="14"/>
      <c r="C11" s="15"/>
      <c r="D11" s="14" t="s">
        <v>22</v>
      </c>
      <c r="E11" s="14">
        <v>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">
        <f t="shared" si="0"/>
        <v>0</v>
      </c>
    </row>
    <row r="12" spans="1:32" ht="13.5" customHeight="1" x14ac:dyDescent="0.3">
      <c r="A12" s="17">
        <v>6</v>
      </c>
      <c r="B12" s="14"/>
      <c r="C12" s="15"/>
      <c r="D12" s="14" t="s">
        <v>22</v>
      </c>
      <c r="E12" s="14">
        <v>2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>
        <f t="shared" si="0"/>
        <v>0</v>
      </c>
    </row>
    <row r="13" spans="1:32" ht="13.5" customHeight="1" x14ac:dyDescent="0.3">
      <c r="A13" s="17">
        <v>7</v>
      </c>
      <c r="B13" s="14"/>
      <c r="C13" s="15"/>
      <c r="D13" s="14" t="s">
        <v>22</v>
      </c>
      <c r="E13" s="14">
        <v>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">
        <f t="shared" si="0"/>
        <v>0</v>
      </c>
    </row>
    <row r="14" spans="1:32" ht="13.5" customHeight="1" x14ac:dyDescent="0.3">
      <c r="A14" s="17">
        <v>8</v>
      </c>
      <c r="B14" s="14"/>
      <c r="C14" s="15"/>
      <c r="D14" s="14" t="s">
        <v>22</v>
      </c>
      <c r="E14" s="14">
        <v>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">
        <f t="shared" si="0"/>
        <v>0</v>
      </c>
    </row>
    <row r="15" spans="1:32" ht="13.5" customHeight="1" x14ac:dyDescent="0.3">
      <c r="A15" s="17">
        <v>9</v>
      </c>
      <c r="B15" s="14"/>
      <c r="C15" s="15"/>
      <c r="D15" s="14" t="s">
        <v>22</v>
      </c>
      <c r="E15" s="14">
        <v>2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">
        <f t="shared" si="0"/>
        <v>0</v>
      </c>
    </row>
    <row r="16" spans="1:32" ht="13.5" customHeight="1" x14ac:dyDescent="0.3">
      <c r="A16" s="17">
        <v>10</v>
      </c>
      <c r="B16" s="14"/>
      <c r="C16" s="15"/>
      <c r="D16" s="14" t="s">
        <v>22</v>
      </c>
      <c r="E16" s="14">
        <v>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>
        <f t="shared" si="0"/>
        <v>0</v>
      </c>
    </row>
    <row r="17" spans="1:32" ht="13.5" customHeight="1" x14ac:dyDescent="0.3">
      <c r="A17" s="17">
        <v>11</v>
      </c>
      <c r="B17" s="14"/>
      <c r="C17" s="15"/>
      <c r="D17" s="14" t="s">
        <v>22</v>
      </c>
      <c r="E17" s="14">
        <v>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">
        <f t="shared" si="0"/>
        <v>0</v>
      </c>
    </row>
    <row r="18" spans="1:32" ht="13.5" customHeight="1" x14ac:dyDescent="0.3">
      <c r="A18" s="17">
        <v>12</v>
      </c>
      <c r="B18" s="14"/>
      <c r="C18" s="15"/>
      <c r="D18" s="14" t="s">
        <v>22</v>
      </c>
      <c r="E18" s="14">
        <v>2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">
        <f t="shared" si="0"/>
        <v>0</v>
      </c>
    </row>
    <row r="19" spans="1:32" ht="13.5" customHeight="1" x14ac:dyDescent="0.3">
      <c r="A19" s="17">
        <v>13</v>
      </c>
      <c r="B19" s="14"/>
      <c r="C19" s="15"/>
      <c r="D19" s="14" t="s">
        <v>22</v>
      </c>
      <c r="E19" s="14">
        <v>2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">
        <f t="shared" si="0"/>
        <v>0</v>
      </c>
    </row>
    <row r="20" spans="1:32" ht="13.5" customHeight="1" x14ac:dyDescent="0.3">
      <c r="A20" s="17">
        <v>14</v>
      </c>
      <c r="B20" s="14"/>
      <c r="C20" s="15"/>
      <c r="D20" s="14" t="s">
        <v>22</v>
      </c>
      <c r="E20" s="14">
        <v>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">
        <f t="shared" si="0"/>
        <v>0</v>
      </c>
    </row>
    <row r="21" spans="1:32" ht="13.5" customHeight="1" x14ac:dyDescent="0.3">
      <c r="A21" s="17">
        <v>15</v>
      </c>
      <c r="B21" s="14"/>
      <c r="C21" s="15"/>
      <c r="D21" s="14" t="s">
        <v>22</v>
      </c>
      <c r="E21" s="14">
        <v>2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">
        <f t="shared" si="0"/>
        <v>0</v>
      </c>
    </row>
    <row r="22" spans="1:32" ht="13.5" customHeight="1" x14ac:dyDescent="0.3">
      <c r="A22" s="17">
        <v>16</v>
      </c>
      <c r="B22" s="14"/>
      <c r="C22" s="15"/>
      <c r="D22" s="14" t="s">
        <v>22</v>
      </c>
      <c r="E22" s="14">
        <v>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">
        <f t="shared" si="0"/>
        <v>0</v>
      </c>
    </row>
    <row r="23" spans="1:32" ht="13.5" customHeight="1" x14ac:dyDescent="0.3">
      <c r="A23" s="17">
        <v>17</v>
      </c>
      <c r="B23" s="14"/>
      <c r="C23" s="15"/>
      <c r="D23" s="14" t="s">
        <v>22</v>
      </c>
      <c r="E23" s="14">
        <v>2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">
        <f t="shared" si="0"/>
        <v>0</v>
      </c>
    </row>
    <row r="24" spans="1:32" ht="13.5" customHeight="1" x14ac:dyDescent="0.3">
      <c r="A24" s="17">
        <v>18</v>
      </c>
      <c r="B24" s="14"/>
      <c r="C24" s="15"/>
      <c r="D24" s="14" t="s">
        <v>22</v>
      </c>
      <c r="E24" s="14">
        <v>2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">
        <f t="shared" si="0"/>
        <v>0</v>
      </c>
    </row>
    <row r="25" spans="1:32" ht="13.5" customHeight="1" x14ac:dyDescent="0.3">
      <c r="A25" s="17">
        <v>19</v>
      </c>
      <c r="B25" s="14"/>
      <c r="C25" s="15"/>
      <c r="D25" s="14" t="s">
        <v>22</v>
      </c>
      <c r="E25" s="14">
        <v>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">
        <f t="shared" si="0"/>
        <v>0</v>
      </c>
    </row>
    <row r="26" spans="1:32" ht="13.5" customHeight="1" x14ac:dyDescent="0.3">
      <c r="A26" s="17">
        <v>20</v>
      </c>
      <c r="B26" s="14"/>
      <c r="C26" s="15"/>
      <c r="D26" s="14" t="s">
        <v>22</v>
      </c>
      <c r="E26" s="14">
        <v>2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">
        <f t="shared" si="0"/>
        <v>0</v>
      </c>
    </row>
    <row r="27" spans="1:32" ht="13.5" customHeight="1" x14ac:dyDescent="0.3">
      <c r="A27" s="17">
        <v>21</v>
      </c>
      <c r="B27" s="14"/>
      <c r="C27" s="15"/>
      <c r="D27" s="14" t="s">
        <v>22</v>
      </c>
      <c r="E27" s="14">
        <v>2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">
        <f t="shared" si="0"/>
        <v>0</v>
      </c>
    </row>
    <row r="28" spans="1:32" ht="13.5" customHeight="1" x14ac:dyDescent="0.3">
      <c r="A28" s="17">
        <v>22</v>
      </c>
      <c r="B28" s="14"/>
      <c r="C28" s="15"/>
      <c r="D28" s="14" t="s">
        <v>22</v>
      </c>
      <c r="E28" s="14">
        <v>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">
        <f t="shared" si="0"/>
        <v>0</v>
      </c>
    </row>
    <row r="29" spans="1:32" ht="13.5" customHeight="1" x14ac:dyDescent="0.3">
      <c r="A29" s="17">
        <v>23</v>
      </c>
      <c r="B29" s="14"/>
      <c r="C29" s="15"/>
      <c r="D29" s="14" t="s">
        <v>22</v>
      </c>
      <c r="E29" s="14">
        <v>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">
        <f t="shared" si="0"/>
        <v>0</v>
      </c>
    </row>
    <row r="30" spans="1:32" ht="13.5" customHeight="1" x14ac:dyDescent="0.3">
      <c r="A30" s="17">
        <v>24</v>
      </c>
      <c r="B30" s="14"/>
      <c r="C30" s="15"/>
      <c r="D30" s="14" t="s">
        <v>22</v>
      </c>
      <c r="E30" s="14">
        <v>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">
        <f t="shared" si="0"/>
        <v>0</v>
      </c>
    </row>
    <row r="31" spans="1:32" ht="13.5" customHeight="1" x14ac:dyDescent="0.3">
      <c r="A31" s="17">
        <v>25</v>
      </c>
      <c r="B31" s="14"/>
      <c r="C31" s="15"/>
      <c r="D31" s="14" t="s">
        <v>22</v>
      </c>
      <c r="E31" s="14">
        <v>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">
        <f t="shared" si="0"/>
        <v>0</v>
      </c>
    </row>
    <row r="32" spans="1:32" ht="13.5" customHeight="1" x14ac:dyDescent="0.3">
      <c r="A32" s="17">
        <v>26</v>
      </c>
      <c r="B32" s="14"/>
      <c r="C32" s="15"/>
      <c r="D32" s="14" t="s">
        <v>22</v>
      </c>
      <c r="E32" s="14">
        <v>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">
        <f t="shared" si="0"/>
        <v>0</v>
      </c>
    </row>
    <row r="33" spans="1:32" ht="13.5" customHeight="1" x14ac:dyDescent="0.3">
      <c r="A33" s="17">
        <v>27</v>
      </c>
      <c r="B33" s="14"/>
      <c r="C33" s="15"/>
      <c r="D33" s="14" t="s">
        <v>22</v>
      </c>
      <c r="E33" s="14">
        <v>2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">
        <f t="shared" si="0"/>
        <v>0</v>
      </c>
    </row>
    <row r="34" spans="1:32" ht="13.5" customHeight="1" x14ac:dyDescent="0.3">
      <c r="A34" s="17">
        <v>28</v>
      </c>
      <c r="B34" s="14"/>
      <c r="C34" s="15"/>
      <c r="D34" s="14" t="s">
        <v>22</v>
      </c>
      <c r="E34" s="14">
        <v>2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">
        <f t="shared" si="0"/>
        <v>0</v>
      </c>
    </row>
    <row r="35" spans="1:32" ht="13.5" customHeight="1" x14ac:dyDescent="0.3">
      <c r="A35" s="17">
        <v>29</v>
      </c>
      <c r="B35" s="14"/>
      <c r="C35" s="15"/>
      <c r="D35" s="14" t="s">
        <v>22</v>
      </c>
      <c r="E35" s="14">
        <v>2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">
        <f t="shared" si="0"/>
        <v>0</v>
      </c>
    </row>
    <row r="36" spans="1:32" ht="13.5" customHeight="1" x14ac:dyDescent="0.3">
      <c r="A36" s="17">
        <v>30</v>
      </c>
      <c r="B36" s="14"/>
      <c r="C36" s="15"/>
      <c r="D36" s="14" t="s">
        <v>22</v>
      </c>
      <c r="E36" s="14">
        <v>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">
        <f t="shared" si="0"/>
        <v>0</v>
      </c>
    </row>
    <row r="37" spans="1:32" ht="13.5" customHeight="1" x14ac:dyDescent="0.3">
      <c r="A37" s="17">
        <v>31</v>
      </c>
      <c r="B37" s="14"/>
      <c r="C37" s="15"/>
      <c r="D37" s="14" t="s">
        <v>22</v>
      </c>
      <c r="E37" s="14">
        <v>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">
        <f t="shared" si="0"/>
        <v>0</v>
      </c>
    </row>
    <row r="38" spans="1:32" ht="13.5" customHeight="1" x14ac:dyDescent="0.3">
      <c r="A38" s="17">
        <v>32</v>
      </c>
      <c r="B38" s="14"/>
      <c r="C38" s="15"/>
      <c r="D38" s="14" t="s">
        <v>22</v>
      </c>
      <c r="E38" s="14">
        <v>2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">
        <f t="shared" si="0"/>
        <v>0</v>
      </c>
    </row>
    <row r="39" spans="1:32" ht="13.5" customHeight="1" x14ac:dyDescent="0.3">
      <c r="A39" s="17">
        <v>33</v>
      </c>
      <c r="B39" s="14"/>
      <c r="C39" s="15"/>
      <c r="D39" s="14" t="s">
        <v>22</v>
      </c>
      <c r="E39" s="14">
        <v>2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>
        <f t="shared" si="0"/>
        <v>0</v>
      </c>
    </row>
    <row r="40" spans="1:32" ht="13.5" customHeight="1" x14ac:dyDescent="0.3">
      <c r="A40" s="17">
        <v>34</v>
      </c>
      <c r="B40" s="14"/>
      <c r="C40" s="15"/>
      <c r="D40" s="14" t="s">
        <v>22</v>
      </c>
      <c r="E40" s="14">
        <v>2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">
        <f t="shared" si="0"/>
        <v>0</v>
      </c>
    </row>
    <row r="41" spans="1:32" ht="13.5" customHeight="1" x14ac:dyDescent="0.3">
      <c r="A41" s="17">
        <v>35</v>
      </c>
      <c r="B41" s="14"/>
      <c r="C41" s="15"/>
      <c r="D41" s="14" t="s">
        <v>22</v>
      </c>
      <c r="E41" s="14">
        <v>2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">
        <f t="shared" si="0"/>
        <v>0</v>
      </c>
    </row>
    <row r="42" spans="1:32" ht="13.5" customHeight="1" x14ac:dyDescent="0.3">
      <c r="A42" s="17">
        <v>36</v>
      </c>
      <c r="B42" s="14"/>
      <c r="C42" s="15"/>
      <c r="D42" s="14" t="s">
        <v>22</v>
      </c>
      <c r="E42" s="14">
        <v>2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">
        <f t="shared" si="0"/>
        <v>0</v>
      </c>
    </row>
    <row r="43" spans="1:32" ht="13.5" customHeight="1" x14ac:dyDescent="0.3">
      <c r="A43" s="17">
        <v>37</v>
      </c>
      <c r="B43" s="14"/>
      <c r="C43" s="15"/>
      <c r="D43" s="14" t="s">
        <v>22</v>
      </c>
      <c r="E43" s="14">
        <v>2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>
        <f t="shared" si="0"/>
        <v>0</v>
      </c>
    </row>
    <row r="44" spans="1:32" ht="14" x14ac:dyDescent="0.3">
      <c r="C44" s="34" t="s">
        <v>80</v>
      </c>
      <c r="D44" s="34"/>
      <c r="E44" s="34"/>
      <c r="F44" s="36">
        <f>IFERROR(AVERAGE(F$7:F$43),0)</f>
        <v>0</v>
      </c>
      <c r="G44" s="36">
        <f t="shared" ref="G44:AE44" si="1">IFERROR(AVERAGE(G$7:G$43),0)</f>
        <v>0</v>
      </c>
      <c r="H44" s="36">
        <f t="shared" si="1"/>
        <v>0</v>
      </c>
      <c r="I44" s="36">
        <f t="shared" si="1"/>
        <v>0</v>
      </c>
      <c r="J44" s="36">
        <f t="shared" si="1"/>
        <v>0</v>
      </c>
      <c r="K44" s="36">
        <f t="shared" si="1"/>
        <v>0</v>
      </c>
      <c r="L44" s="36">
        <f t="shared" si="1"/>
        <v>0</v>
      </c>
      <c r="M44" s="36">
        <f t="shared" si="1"/>
        <v>0</v>
      </c>
      <c r="N44" s="36">
        <f t="shared" si="1"/>
        <v>0</v>
      </c>
      <c r="O44" s="36">
        <f t="shared" si="1"/>
        <v>0</v>
      </c>
      <c r="P44" s="36">
        <f t="shared" si="1"/>
        <v>0</v>
      </c>
      <c r="Q44" s="36">
        <f t="shared" si="1"/>
        <v>0</v>
      </c>
      <c r="R44" s="36">
        <f t="shared" si="1"/>
        <v>0</v>
      </c>
      <c r="S44" s="36">
        <f t="shared" si="1"/>
        <v>0</v>
      </c>
      <c r="T44" s="36">
        <f t="shared" si="1"/>
        <v>0</v>
      </c>
      <c r="U44" s="36">
        <f t="shared" si="1"/>
        <v>0</v>
      </c>
      <c r="V44" s="36">
        <f t="shared" si="1"/>
        <v>0</v>
      </c>
      <c r="W44" s="36">
        <f t="shared" si="1"/>
        <v>0</v>
      </c>
      <c r="X44" s="36">
        <f t="shared" si="1"/>
        <v>0</v>
      </c>
      <c r="Y44" s="36">
        <f t="shared" si="1"/>
        <v>0</v>
      </c>
      <c r="Z44" s="36">
        <f t="shared" si="1"/>
        <v>0</v>
      </c>
      <c r="AA44" s="36">
        <f t="shared" si="1"/>
        <v>0</v>
      </c>
      <c r="AB44" s="36">
        <f t="shared" si="1"/>
        <v>0</v>
      </c>
      <c r="AC44" s="36">
        <f t="shared" si="1"/>
        <v>0</v>
      </c>
      <c r="AD44" s="36">
        <f t="shared" si="1"/>
        <v>0</v>
      </c>
      <c r="AE44" s="36">
        <f t="shared" si="1"/>
        <v>0</v>
      </c>
    </row>
    <row r="45" spans="1:32" ht="13.5" customHeight="1" x14ac:dyDescent="0.3"/>
    <row r="46" spans="1:32" ht="13.5" customHeight="1" x14ac:dyDescent="0.3"/>
    <row r="47" spans="1:32" ht="13.5" customHeight="1" x14ac:dyDescent="0.3"/>
    <row r="48" spans="1:3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2">
    <mergeCell ref="C44:E44"/>
    <mergeCell ref="G1:J1"/>
    <mergeCell ref="N1:Q1"/>
    <mergeCell ref="S1:V1"/>
    <mergeCell ref="G2:J2"/>
    <mergeCell ref="N2:Q2"/>
    <mergeCell ref="S2:V2"/>
    <mergeCell ref="D2:E2"/>
    <mergeCell ref="D3:E3"/>
    <mergeCell ref="D4:E4"/>
    <mergeCell ref="D5:E5"/>
    <mergeCell ref="D1:E1"/>
  </mergeCells>
  <conditionalFormatting sqref="F7:AE43">
    <cfRule type="containsBlanks" dxfId="43" priority="1">
      <formula>LEN(TRIM(F7))=0</formula>
    </cfRule>
  </conditionalFormatting>
  <conditionalFormatting sqref="AF7:AF43">
    <cfRule type="cellIs" dxfId="15" priority="2" operator="between">
      <formula>86</formula>
      <formula>100</formula>
    </cfRule>
  </conditionalFormatting>
  <conditionalFormatting sqref="AF7:AF43">
    <cfRule type="cellIs" dxfId="14" priority="3" operator="between">
      <formula>70</formula>
      <formula>85</formula>
    </cfRule>
  </conditionalFormatting>
  <conditionalFormatting sqref="AF7:AF43">
    <cfRule type="cellIs" dxfId="13" priority="4" operator="between">
      <formula>55</formula>
      <formula>69</formula>
    </cfRule>
  </conditionalFormatting>
  <conditionalFormatting sqref="AF7:AF43">
    <cfRule type="cellIs" dxfId="12" priority="5" operator="between">
      <formula>0</formula>
      <formula>54</formula>
    </cfRule>
  </conditionalFormatting>
  <dataValidations count="6">
    <dataValidation type="list" allowBlank="1" showInputMessage="1" showErrorMessage="1" prompt="ניקוד מותר: 3 / 2 / 0" sqref="Z7:Z43" xr:uid="{00000000-0002-0000-1700-000000000000}">
      <formula1>"3,2,0"</formula1>
    </dataValidation>
    <dataValidation type="list" allowBlank="1" showInputMessage="1" showErrorMessage="1" prompt="ניקוד מותר: 6 / 3 / 0" sqref="K7:K43 Y7:Y43 AB7:AB43" xr:uid="{00000000-0002-0000-1700-000001000000}">
      <formula1>"6,3,0"</formula1>
    </dataValidation>
    <dataValidation type="list" allowBlank="1" showInputMessage="1" showErrorMessage="1" prompt="ניקוד מותר: 3 / 0" sqref="R7:R43 X7:X43" xr:uid="{00000000-0002-0000-1700-000002000000}">
      <formula1>"3,0"</formula1>
    </dataValidation>
    <dataValidation type="list" allowBlank="1" showInputMessage="1" showErrorMessage="1" prompt="ניקוד מותר: 4 / 0" sqref="F7:J43 L7:Q43 W7:W43 AA7:AA43 AC7:AD43" xr:uid="{00000000-0002-0000-1700-000003000000}">
      <formula1>"4,0"</formula1>
    </dataValidation>
    <dataValidation type="list" allowBlank="1" showInputMessage="1" showErrorMessage="1" prompt="ניקוד מותר: 2 / 0" sqref="S7:V43" xr:uid="{00000000-0002-0000-1700-000004000000}">
      <formula1>"2,0"</formula1>
    </dataValidation>
    <dataValidation type="list" allowBlank="1" showInputMessage="1" showErrorMessage="1" prompt="ניקוד מותר: 5 / 0" sqref="AE7:AE43" xr:uid="{00000000-0002-0000-1700-000005000000}">
      <formula1>"5,0"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DBE9F7"/>
  </sheetPr>
  <dimension ref="A1:AF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17" width="6.75" customWidth="1"/>
    <col min="18" max="18" width="7.33203125" customWidth="1"/>
    <col min="19" max="22" width="6.75" customWidth="1"/>
    <col min="23" max="23" width="7.25" customWidth="1"/>
    <col min="24" max="24" width="8" customWidth="1"/>
    <col min="25" max="25" width="7.33203125" customWidth="1"/>
    <col min="26" max="26" width="7.75" customWidth="1"/>
    <col min="27" max="27" width="7.25" customWidth="1"/>
    <col min="28" max="31" width="6.75" customWidth="1"/>
    <col min="32" max="32" width="9" customWidth="1"/>
  </cols>
  <sheetData>
    <row r="1" spans="1:32" ht="41.25" customHeight="1" x14ac:dyDescent="0.3">
      <c r="A1" s="1"/>
      <c r="B1" s="2"/>
      <c r="C1" s="3"/>
      <c r="D1" s="28" t="s">
        <v>1</v>
      </c>
      <c r="E1" s="23"/>
      <c r="F1" s="19" t="s">
        <v>2</v>
      </c>
      <c r="G1" s="29" t="s">
        <v>5</v>
      </c>
      <c r="H1" s="30"/>
      <c r="I1" s="30"/>
      <c r="J1" s="31"/>
      <c r="K1" s="4" t="s">
        <v>5</v>
      </c>
      <c r="L1" s="4" t="s">
        <v>5</v>
      </c>
      <c r="M1" s="4" t="s">
        <v>5</v>
      </c>
      <c r="N1" s="32" t="s">
        <v>17</v>
      </c>
      <c r="O1" s="30"/>
      <c r="P1" s="30"/>
      <c r="Q1" s="31"/>
      <c r="R1" s="4" t="s">
        <v>19</v>
      </c>
      <c r="S1" s="32" t="s">
        <v>8</v>
      </c>
      <c r="T1" s="30"/>
      <c r="U1" s="30"/>
      <c r="V1" s="31"/>
      <c r="W1" s="4" t="s">
        <v>19</v>
      </c>
      <c r="X1" s="4" t="s">
        <v>37</v>
      </c>
      <c r="Y1" s="4" t="s">
        <v>19</v>
      </c>
      <c r="Z1" s="4" t="s">
        <v>37</v>
      </c>
      <c r="AA1" s="4" t="s">
        <v>17</v>
      </c>
      <c r="AB1" s="4" t="s">
        <v>9</v>
      </c>
      <c r="AC1" s="4" t="s">
        <v>9</v>
      </c>
      <c r="AD1" s="4" t="s">
        <v>46</v>
      </c>
      <c r="AE1" s="4" t="s">
        <v>46</v>
      </c>
      <c r="AF1" s="1"/>
    </row>
    <row r="2" spans="1:32" ht="13.5" customHeight="1" x14ac:dyDescent="0.3">
      <c r="A2" s="5"/>
      <c r="B2" s="6"/>
      <c r="C2" s="7"/>
      <c r="D2" s="27" t="s">
        <v>18</v>
      </c>
      <c r="E2" s="23"/>
      <c r="F2" s="8">
        <v>1</v>
      </c>
      <c r="G2" s="33">
        <v>2</v>
      </c>
      <c r="H2" s="30"/>
      <c r="I2" s="30"/>
      <c r="J2" s="31"/>
      <c r="K2" s="8">
        <v>3</v>
      </c>
      <c r="L2" s="8">
        <v>4</v>
      </c>
      <c r="M2" s="8">
        <v>5</v>
      </c>
      <c r="N2" s="33">
        <v>6</v>
      </c>
      <c r="O2" s="30"/>
      <c r="P2" s="30"/>
      <c r="Q2" s="31"/>
      <c r="R2" s="8">
        <v>7</v>
      </c>
      <c r="S2" s="33">
        <v>8</v>
      </c>
      <c r="T2" s="30"/>
      <c r="U2" s="30"/>
      <c r="V2" s="31"/>
      <c r="W2" s="8">
        <v>9</v>
      </c>
      <c r="X2" s="8">
        <v>10</v>
      </c>
      <c r="Y2" s="8">
        <v>11</v>
      </c>
      <c r="Z2" s="8">
        <v>12</v>
      </c>
      <c r="AA2" s="8">
        <v>13</v>
      </c>
      <c r="AB2" s="8">
        <v>14</v>
      </c>
      <c r="AC2" s="8">
        <v>15</v>
      </c>
      <c r="AD2" s="8">
        <v>16</v>
      </c>
      <c r="AE2" s="8">
        <v>17</v>
      </c>
      <c r="AF2" s="5"/>
    </row>
    <row r="3" spans="1:32" ht="13.5" customHeight="1" x14ac:dyDescent="0.3">
      <c r="A3" s="5"/>
      <c r="B3" s="6"/>
      <c r="C3" s="7"/>
      <c r="D3" s="27" t="s">
        <v>21</v>
      </c>
      <c r="E3" s="23"/>
      <c r="F3" s="8">
        <v>1</v>
      </c>
      <c r="G3" s="8" t="s">
        <v>23</v>
      </c>
      <c r="H3" s="8" t="s">
        <v>24</v>
      </c>
      <c r="I3" s="8" t="s">
        <v>66</v>
      </c>
      <c r="J3" s="8" t="s">
        <v>67</v>
      </c>
      <c r="K3" s="8">
        <v>3</v>
      </c>
      <c r="L3" s="8">
        <v>4</v>
      </c>
      <c r="M3" s="8">
        <v>5</v>
      </c>
      <c r="N3" s="20" t="s">
        <v>25</v>
      </c>
      <c r="O3" s="8" t="s">
        <v>26</v>
      </c>
      <c r="P3" s="8" t="s">
        <v>68</v>
      </c>
      <c r="Q3" s="8" t="s">
        <v>69</v>
      </c>
      <c r="R3" s="8">
        <v>7</v>
      </c>
      <c r="S3" s="8" t="s">
        <v>70</v>
      </c>
      <c r="T3" s="8" t="s">
        <v>71</v>
      </c>
      <c r="U3" s="8" t="s">
        <v>72</v>
      </c>
      <c r="V3" s="8" t="s">
        <v>73</v>
      </c>
      <c r="W3" s="8">
        <v>9</v>
      </c>
      <c r="X3" s="8">
        <v>10</v>
      </c>
      <c r="Y3" s="8">
        <v>11</v>
      </c>
      <c r="Z3" s="8">
        <v>12</v>
      </c>
      <c r="AA3" s="8">
        <v>13</v>
      </c>
      <c r="AB3" s="8">
        <v>14</v>
      </c>
      <c r="AC3" s="8">
        <v>15</v>
      </c>
      <c r="AD3" s="8">
        <v>16</v>
      </c>
      <c r="AE3" s="8">
        <v>17</v>
      </c>
      <c r="AF3" s="5"/>
    </row>
    <row r="4" spans="1:32" ht="13.5" customHeight="1" x14ac:dyDescent="0.3">
      <c r="A4" s="9"/>
      <c r="B4" s="10"/>
      <c r="C4" s="11"/>
      <c r="D4" s="28" t="s">
        <v>29</v>
      </c>
      <c r="E4" s="23"/>
      <c r="F4" s="12" t="s">
        <v>14</v>
      </c>
      <c r="G4" s="12" t="s">
        <v>12</v>
      </c>
      <c r="H4" s="12" t="s">
        <v>11</v>
      </c>
      <c r="I4" s="12" t="s">
        <v>15</v>
      </c>
      <c r="J4" s="12" t="s">
        <v>6</v>
      </c>
      <c r="K4" s="12" t="s">
        <v>27</v>
      </c>
      <c r="L4" s="12" t="s">
        <v>28</v>
      </c>
      <c r="M4" s="12" t="s">
        <v>16</v>
      </c>
      <c r="N4" s="12" t="s">
        <v>10</v>
      </c>
      <c r="O4" s="12" t="s">
        <v>10</v>
      </c>
      <c r="P4" s="12" t="s">
        <v>11</v>
      </c>
      <c r="Q4" s="12" t="s">
        <v>30</v>
      </c>
      <c r="R4" s="12" t="s">
        <v>31</v>
      </c>
      <c r="S4" s="12" t="s">
        <v>32</v>
      </c>
      <c r="T4" s="12" t="s">
        <v>32</v>
      </c>
      <c r="U4" s="12" t="s">
        <v>32</v>
      </c>
      <c r="V4" s="12" t="s">
        <v>34</v>
      </c>
      <c r="W4" s="12" t="s">
        <v>35</v>
      </c>
      <c r="X4" s="12" t="s">
        <v>38</v>
      </c>
      <c r="Y4" s="12" t="s">
        <v>40</v>
      </c>
      <c r="Z4" s="12" t="s">
        <v>13</v>
      </c>
      <c r="AA4" s="12" t="s">
        <v>20</v>
      </c>
      <c r="AB4" s="12" t="s">
        <v>44</v>
      </c>
      <c r="AC4" s="12" t="s">
        <v>45</v>
      </c>
      <c r="AD4" s="12" t="s">
        <v>47</v>
      </c>
      <c r="AE4" s="12" t="s">
        <v>48</v>
      </c>
      <c r="AF4" s="9"/>
    </row>
    <row r="5" spans="1:32" ht="13.5" customHeight="1" x14ac:dyDescent="0.3">
      <c r="A5" s="9"/>
      <c r="B5" s="10"/>
      <c r="C5" s="11"/>
      <c r="D5" s="28" t="s">
        <v>33</v>
      </c>
      <c r="E5" s="23"/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7</v>
      </c>
      <c r="L5" s="12" t="s">
        <v>7</v>
      </c>
      <c r="M5" s="12" t="s">
        <v>7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7</v>
      </c>
      <c r="S5" s="12" t="s">
        <v>3</v>
      </c>
      <c r="T5" s="12" t="s">
        <v>3</v>
      </c>
      <c r="U5" s="12" t="s">
        <v>3</v>
      </c>
      <c r="V5" s="12" t="s">
        <v>7</v>
      </c>
      <c r="W5" s="12" t="s">
        <v>3</v>
      </c>
      <c r="X5" s="12" t="s">
        <v>3</v>
      </c>
      <c r="Y5" s="12" t="s">
        <v>3</v>
      </c>
      <c r="Z5" s="12" t="s">
        <v>4</v>
      </c>
      <c r="AA5" s="12" t="s">
        <v>7</v>
      </c>
      <c r="AB5" s="12" t="s">
        <v>3</v>
      </c>
      <c r="AC5" s="12" t="s">
        <v>3</v>
      </c>
      <c r="AD5" s="12" t="s">
        <v>4</v>
      </c>
      <c r="AE5" s="12" t="s">
        <v>7</v>
      </c>
      <c r="AF5" s="9"/>
    </row>
    <row r="6" spans="1:32" ht="13.5" customHeight="1" x14ac:dyDescent="0.3">
      <c r="A6" s="13" t="s">
        <v>36</v>
      </c>
      <c r="B6" s="14" t="s">
        <v>39</v>
      </c>
      <c r="C6" s="15" t="s">
        <v>41</v>
      </c>
      <c r="D6" s="14" t="s">
        <v>0</v>
      </c>
      <c r="E6" s="14" t="s">
        <v>42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43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4" t="s">
        <v>49</v>
      </c>
    </row>
    <row r="7" spans="1:32" ht="13.5" customHeight="1" x14ac:dyDescent="0.3">
      <c r="A7" s="17">
        <v>1</v>
      </c>
      <c r="B7" s="14"/>
      <c r="C7" s="15"/>
      <c r="D7" s="14" t="s">
        <v>22</v>
      </c>
      <c r="E7" s="14">
        <v>3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">
        <f t="shared" ref="AF7:AF43" si="0">SUM(F7:AE7)</f>
        <v>0</v>
      </c>
    </row>
    <row r="8" spans="1:32" ht="13.5" customHeight="1" x14ac:dyDescent="0.3">
      <c r="A8" s="17">
        <v>2</v>
      </c>
      <c r="B8" s="14"/>
      <c r="C8" s="15"/>
      <c r="D8" s="14" t="s">
        <v>22</v>
      </c>
      <c r="E8" s="14">
        <v>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>
        <f t="shared" si="0"/>
        <v>0</v>
      </c>
    </row>
    <row r="9" spans="1:32" ht="13.5" customHeight="1" x14ac:dyDescent="0.3">
      <c r="A9" s="17">
        <v>3</v>
      </c>
      <c r="B9" s="14"/>
      <c r="C9" s="15"/>
      <c r="D9" s="14" t="s">
        <v>22</v>
      </c>
      <c r="E9" s="14">
        <v>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">
        <f t="shared" si="0"/>
        <v>0</v>
      </c>
    </row>
    <row r="10" spans="1:32" ht="13.5" customHeight="1" x14ac:dyDescent="0.3">
      <c r="A10" s="17">
        <v>4</v>
      </c>
      <c r="B10" s="14"/>
      <c r="C10" s="15"/>
      <c r="D10" s="14" t="s">
        <v>22</v>
      </c>
      <c r="E10" s="14">
        <v>3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">
        <f t="shared" si="0"/>
        <v>0</v>
      </c>
    </row>
    <row r="11" spans="1:32" ht="13.5" customHeight="1" x14ac:dyDescent="0.3">
      <c r="A11" s="17">
        <v>5</v>
      </c>
      <c r="B11" s="14"/>
      <c r="C11" s="15"/>
      <c r="D11" s="14" t="s">
        <v>22</v>
      </c>
      <c r="E11" s="14">
        <v>3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">
        <f t="shared" si="0"/>
        <v>0</v>
      </c>
    </row>
    <row r="12" spans="1:32" ht="13.5" customHeight="1" x14ac:dyDescent="0.3">
      <c r="A12" s="17">
        <v>6</v>
      </c>
      <c r="B12" s="14"/>
      <c r="C12" s="15"/>
      <c r="D12" s="14" t="s">
        <v>22</v>
      </c>
      <c r="E12" s="14">
        <v>3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>
        <f t="shared" si="0"/>
        <v>0</v>
      </c>
    </row>
    <row r="13" spans="1:32" ht="13.5" customHeight="1" x14ac:dyDescent="0.3">
      <c r="A13" s="17">
        <v>7</v>
      </c>
      <c r="B13" s="14"/>
      <c r="C13" s="15"/>
      <c r="D13" s="14" t="s">
        <v>22</v>
      </c>
      <c r="E13" s="14">
        <v>3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">
        <f t="shared" si="0"/>
        <v>0</v>
      </c>
    </row>
    <row r="14" spans="1:32" ht="13.5" customHeight="1" x14ac:dyDescent="0.3">
      <c r="A14" s="17">
        <v>8</v>
      </c>
      <c r="B14" s="14"/>
      <c r="C14" s="15"/>
      <c r="D14" s="14" t="s">
        <v>22</v>
      </c>
      <c r="E14" s="14">
        <v>3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">
        <f t="shared" si="0"/>
        <v>0</v>
      </c>
    </row>
    <row r="15" spans="1:32" ht="13.5" customHeight="1" x14ac:dyDescent="0.3">
      <c r="A15" s="17">
        <v>9</v>
      </c>
      <c r="B15" s="14"/>
      <c r="C15" s="15"/>
      <c r="D15" s="14" t="s">
        <v>22</v>
      </c>
      <c r="E15" s="14">
        <v>3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">
        <f t="shared" si="0"/>
        <v>0</v>
      </c>
    </row>
    <row r="16" spans="1:32" ht="13.5" customHeight="1" x14ac:dyDescent="0.3">
      <c r="A16" s="17">
        <v>10</v>
      </c>
      <c r="B16" s="14"/>
      <c r="C16" s="15"/>
      <c r="D16" s="14" t="s">
        <v>22</v>
      </c>
      <c r="E16" s="14">
        <v>3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>
        <f t="shared" si="0"/>
        <v>0</v>
      </c>
    </row>
    <row r="17" spans="1:32" ht="13.5" customHeight="1" x14ac:dyDescent="0.3">
      <c r="A17" s="17">
        <v>11</v>
      </c>
      <c r="B17" s="14"/>
      <c r="C17" s="15"/>
      <c r="D17" s="14" t="s">
        <v>22</v>
      </c>
      <c r="E17" s="14">
        <v>3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">
        <f t="shared" si="0"/>
        <v>0</v>
      </c>
    </row>
    <row r="18" spans="1:32" ht="13.5" customHeight="1" x14ac:dyDescent="0.3">
      <c r="A18" s="17">
        <v>12</v>
      </c>
      <c r="B18" s="14"/>
      <c r="C18" s="15"/>
      <c r="D18" s="14" t="s">
        <v>22</v>
      </c>
      <c r="E18" s="14">
        <v>3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">
        <f t="shared" si="0"/>
        <v>0</v>
      </c>
    </row>
    <row r="19" spans="1:32" ht="13.5" customHeight="1" x14ac:dyDescent="0.3">
      <c r="A19" s="17">
        <v>13</v>
      </c>
      <c r="B19" s="14"/>
      <c r="C19" s="15"/>
      <c r="D19" s="14" t="s">
        <v>22</v>
      </c>
      <c r="E19" s="14">
        <v>3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">
        <f t="shared" si="0"/>
        <v>0</v>
      </c>
    </row>
    <row r="20" spans="1:32" ht="13.5" customHeight="1" x14ac:dyDescent="0.3">
      <c r="A20" s="17">
        <v>14</v>
      </c>
      <c r="B20" s="14"/>
      <c r="C20" s="15"/>
      <c r="D20" s="14" t="s">
        <v>22</v>
      </c>
      <c r="E20" s="14">
        <v>3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">
        <f t="shared" si="0"/>
        <v>0</v>
      </c>
    </row>
    <row r="21" spans="1:32" ht="13.5" customHeight="1" x14ac:dyDescent="0.3">
      <c r="A21" s="17">
        <v>15</v>
      </c>
      <c r="B21" s="14"/>
      <c r="C21" s="15"/>
      <c r="D21" s="14" t="s">
        <v>22</v>
      </c>
      <c r="E21" s="14">
        <v>3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">
        <f t="shared" si="0"/>
        <v>0</v>
      </c>
    </row>
    <row r="22" spans="1:32" ht="13.5" customHeight="1" x14ac:dyDescent="0.3">
      <c r="A22" s="17">
        <v>16</v>
      </c>
      <c r="B22" s="14"/>
      <c r="C22" s="15"/>
      <c r="D22" s="14" t="s">
        <v>22</v>
      </c>
      <c r="E22" s="14">
        <v>3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">
        <f t="shared" si="0"/>
        <v>0</v>
      </c>
    </row>
    <row r="23" spans="1:32" ht="13.5" customHeight="1" x14ac:dyDescent="0.3">
      <c r="A23" s="17">
        <v>17</v>
      </c>
      <c r="B23" s="14"/>
      <c r="C23" s="15"/>
      <c r="D23" s="14" t="s">
        <v>22</v>
      </c>
      <c r="E23" s="14">
        <v>3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">
        <f t="shared" si="0"/>
        <v>0</v>
      </c>
    </row>
    <row r="24" spans="1:32" ht="13.5" customHeight="1" x14ac:dyDescent="0.3">
      <c r="A24" s="17">
        <v>18</v>
      </c>
      <c r="B24" s="14"/>
      <c r="C24" s="15"/>
      <c r="D24" s="14" t="s">
        <v>22</v>
      </c>
      <c r="E24" s="14">
        <v>3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">
        <f t="shared" si="0"/>
        <v>0</v>
      </c>
    </row>
    <row r="25" spans="1:32" ht="13.5" customHeight="1" x14ac:dyDescent="0.3">
      <c r="A25" s="17">
        <v>19</v>
      </c>
      <c r="B25" s="14"/>
      <c r="C25" s="15"/>
      <c r="D25" s="14" t="s">
        <v>22</v>
      </c>
      <c r="E25" s="14">
        <v>3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">
        <f t="shared" si="0"/>
        <v>0</v>
      </c>
    </row>
    <row r="26" spans="1:32" ht="13.5" customHeight="1" x14ac:dyDescent="0.3">
      <c r="A26" s="17">
        <v>20</v>
      </c>
      <c r="B26" s="14"/>
      <c r="C26" s="15"/>
      <c r="D26" s="14" t="s">
        <v>22</v>
      </c>
      <c r="E26" s="14">
        <v>3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">
        <f t="shared" si="0"/>
        <v>0</v>
      </c>
    </row>
    <row r="27" spans="1:32" ht="13.5" customHeight="1" x14ac:dyDescent="0.3">
      <c r="A27" s="17">
        <v>21</v>
      </c>
      <c r="B27" s="14"/>
      <c r="C27" s="15"/>
      <c r="D27" s="14" t="s">
        <v>22</v>
      </c>
      <c r="E27" s="14">
        <v>3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">
        <f t="shared" si="0"/>
        <v>0</v>
      </c>
    </row>
    <row r="28" spans="1:32" ht="13.5" customHeight="1" x14ac:dyDescent="0.3">
      <c r="A28" s="17">
        <v>22</v>
      </c>
      <c r="B28" s="14"/>
      <c r="C28" s="15"/>
      <c r="D28" s="14" t="s">
        <v>22</v>
      </c>
      <c r="E28" s="14">
        <v>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">
        <f t="shared" si="0"/>
        <v>0</v>
      </c>
    </row>
    <row r="29" spans="1:32" ht="13.5" customHeight="1" x14ac:dyDescent="0.3">
      <c r="A29" s="17">
        <v>23</v>
      </c>
      <c r="B29" s="14"/>
      <c r="C29" s="15"/>
      <c r="D29" s="14" t="s">
        <v>22</v>
      </c>
      <c r="E29" s="14">
        <v>3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">
        <f t="shared" si="0"/>
        <v>0</v>
      </c>
    </row>
    <row r="30" spans="1:32" ht="13.5" customHeight="1" x14ac:dyDescent="0.3">
      <c r="A30" s="17">
        <v>24</v>
      </c>
      <c r="B30" s="14"/>
      <c r="C30" s="15"/>
      <c r="D30" s="14" t="s">
        <v>22</v>
      </c>
      <c r="E30" s="14">
        <v>3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">
        <f t="shared" si="0"/>
        <v>0</v>
      </c>
    </row>
    <row r="31" spans="1:32" ht="13.5" customHeight="1" x14ac:dyDescent="0.3">
      <c r="A31" s="17">
        <v>25</v>
      </c>
      <c r="B31" s="14"/>
      <c r="C31" s="15"/>
      <c r="D31" s="14" t="s">
        <v>22</v>
      </c>
      <c r="E31" s="14">
        <v>3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">
        <f t="shared" si="0"/>
        <v>0</v>
      </c>
    </row>
    <row r="32" spans="1:32" ht="13.5" customHeight="1" x14ac:dyDescent="0.3">
      <c r="A32" s="17">
        <v>26</v>
      </c>
      <c r="B32" s="14"/>
      <c r="C32" s="15"/>
      <c r="D32" s="14" t="s">
        <v>22</v>
      </c>
      <c r="E32" s="14">
        <v>3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">
        <f t="shared" si="0"/>
        <v>0</v>
      </c>
    </row>
    <row r="33" spans="1:32" ht="13.5" customHeight="1" x14ac:dyDescent="0.3">
      <c r="A33" s="17">
        <v>27</v>
      </c>
      <c r="B33" s="14"/>
      <c r="C33" s="15"/>
      <c r="D33" s="14" t="s">
        <v>22</v>
      </c>
      <c r="E33" s="14">
        <v>3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">
        <f t="shared" si="0"/>
        <v>0</v>
      </c>
    </row>
    <row r="34" spans="1:32" ht="13.5" customHeight="1" x14ac:dyDescent="0.3">
      <c r="A34" s="17">
        <v>28</v>
      </c>
      <c r="B34" s="14"/>
      <c r="C34" s="15"/>
      <c r="D34" s="14" t="s">
        <v>22</v>
      </c>
      <c r="E34" s="14">
        <v>3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">
        <f t="shared" si="0"/>
        <v>0</v>
      </c>
    </row>
    <row r="35" spans="1:32" ht="13.5" customHeight="1" x14ac:dyDescent="0.3">
      <c r="A35" s="17">
        <v>29</v>
      </c>
      <c r="B35" s="14"/>
      <c r="C35" s="15"/>
      <c r="D35" s="14" t="s">
        <v>22</v>
      </c>
      <c r="E35" s="14">
        <v>3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">
        <f t="shared" si="0"/>
        <v>0</v>
      </c>
    </row>
    <row r="36" spans="1:32" ht="13.5" customHeight="1" x14ac:dyDescent="0.3">
      <c r="A36" s="17">
        <v>30</v>
      </c>
      <c r="B36" s="14"/>
      <c r="C36" s="15"/>
      <c r="D36" s="14" t="s">
        <v>22</v>
      </c>
      <c r="E36" s="14">
        <v>3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">
        <f t="shared" si="0"/>
        <v>0</v>
      </c>
    </row>
    <row r="37" spans="1:32" ht="13.5" customHeight="1" x14ac:dyDescent="0.3">
      <c r="A37" s="17">
        <v>31</v>
      </c>
      <c r="B37" s="14"/>
      <c r="C37" s="15"/>
      <c r="D37" s="14" t="s">
        <v>22</v>
      </c>
      <c r="E37" s="14">
        <v>3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">
        <f t="shared" si="0"/>
        <v>0</v>
      </c>
    </row>
    <row r="38" spans="1:32" ht="13.5" customHeight="1" x14ac:dyDescent="0.3">
      <c r="A38" s="17">
        <v>32</v>
      </c>
      <c r="B38" s="14"/>
      <c r="C38" s="15"/>
      <c r="D38" s="14" t="s">
        <v>22</v>
      </c>
      <c r="E38" s="14">
        <v>3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">
        <f t="shared" si="0"/>
        <v>0</v>
      </c>
    </row>
    <row r="39" spans="1:32" ht="13.5" customHeight="1" x14ac:dyDescent="0.3">
      <c r="A39" s="17">
        <v>33</v>
      </c>
      <c r="B39" s="14"/>
      <c r="C39" s="15"/>
      <c r="D39" s="14" t="s">
        <v>22</v>
      </c>
      <c r="E39" s="14">
        <v>3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>
        <f t="shared" si="0"/>
        <v>0</v>
      </c>
    </row>
    <row r="40" spans="1:32" ht="13.5" customHeight="1" x14ac:dyDescent="0.3">
      <c r="A40" s="17">
        <v>34</v>
      </c>
      <c r="B40" s="14"/>
      <c r="C40" s="15"/>
      <c r="D40" s="14" t="s">
        <v>22</v>
      </c>
      <c r="E40" s="14">
        <v>3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">
        <f t="shared" si="0"/>
        <v>0</v>
      </c>
    </row>
    <row r="41" spans="1:32" ht="13.5" customHeight="1" x14ac:dyDescent="0.3">
      <c r="A41" s="17">
        <v>35</v>
      </c>
      <c r="B41" s="14"/>
      <c r="C41" s="15"/>
      <c r="D41" s="14" t="s">
        <v>22</v>
      </c>
      <c r="E41" s="14">
        <v>3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">
        <f t="shared" si="0"/>
        <v>0</v>
      </c>
    </row>
    <row r="42" spans="1:32" ht="13.5" customHeight="1" x14ac:dyDescent="0.3">
      <c r="A42" s="17">
        <v>36</v>
      </c>
      <c r="B42" s="14"/>
      <c r="C42" s="15"/>
      <c r="D42" s="14" t="s">
        <v>22</v>
      </c>
      <c r="E42" s="14">
        <v>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">
        <f t="shared" si="0"/>
        <v>0</v>
      </c>
    </row>
    <row r="43" spans="1:32" ht="13.5" customHeight="1" x14ac:dyDescent="0.3">
      <c r="A43" s="17">
        <v>37</v>
      </c>
      <c r="B43" s="14"/>
      <c r="C43" s="15"/>
      <c r="D43" s="14" t="s">
        <v>22</v>
      </c>
      <c r="E43" s="14">
        <v>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>
        <f t="shared" si="0"/>
        <v>0</v>
      </c>
    </row>
    <row r="44" spans="1:32" ht="14" x14ac:dyDescent="0.3">
      <c r="C44" s="34" t="s">
        <v>80</v>
      </c>
      <c r="D44" s="34"/>
      <c r="E44" s="34"/>
      <c r="F44" s="36">
        <f>IFERROR(AVERAGE(F$7:F$43),0)</f>
        <v>0</v>
      </c>
      <c r="G44" s="36">
        <f t="shared" ref="G44:AE44" si="1">IFERROR(AVERAGE(G$7:G$43),0)</f>
        <v>0</v>
      </c>
      <c r="H44" s="36">
        <f t="shared" si="1"/>
        <v>0</v>
      </c>
      <c r="I44" s="36">
        <f t="shared" si="1"/>
        <v>0</v>
      </c>
      <c r="J44" s="36">
        <f t="shared" si="1"/>
        <v>0</v>
      </c>
      <c r="K44" s="36">
        <f t="shared" si="1"/>
        <v>0</v>
      </c>
      <c r="L44" s="36">
        <f t="shared" si="1"/>
        <v>0</v>
      </c>
      <c r="M44" s="36">
        <f t="shared" si="1"/>
        <v>0</v>
      </c>
      <c r="N44" s="36">
        <f t="shared" si="1"/>
        <v>0</v>
      </c>
      <c r="O44" s="36">
        <f t="shared" si="1"/>
        <v>0</v>
      </c>
      <c r="P44" s="36">
        <f t="shared" si="1"/>
        <v>0</v>
      </c>
      <c r="Q44" s="36">
        <f t="shared" si="1"/>
        <v>0</v>
      </c>
      <c r="R44" s="36">
        <f t="shared" si="1"/>
        <v>0</v>
      </c>
      <c r="S44" s="36">
        <f t="shared" si="1"/>
        <v>0</v>
      </c>
      <c r="T44" s="36">
        <f t="shared" si="1"/>
        <v>0</v>
      </c>
      <c r="U44" s="36">
        <f t="shared" si="1"/>
        <v>0</v>
      </c>
      <c r="V44" s="36">
        <f t="shared" si="1"/>
        <v>0</v>
      </c>
      <c r="W44" s="36">
        <f t="shared" si="1"/>
        <v>0</v>
      </c>
      <c r="X44" s="36">
        <f t="shared" si="1"/>
        <v>0</v>
      </c>
      <c r="Y44" s="36">
        <f t="shared" si="1"/>
        <v>0</v>
      </c>
      <c r="Z44" s="36">
        <f t="shared" si="1"/>
        <v>0</v>
      </c>
      <c r="AA44" s="36">
        <f t="shared" si="1"/>
        <v>0</v>
      </c>
      <c r="AB44" s="36">
        <f t="shared" si="1"/>
        <v>0</v>
      </c>
      <c r="AC44" s="36">
        <f t="shared" si="1"/>
        <v>0</v>
      </c>
      <c r="AD44" s="36">
        <f t="shared" si="1"/>
        <v>0</v>
      </c>
      <c r="AE44" s="36">
        <f t="shared" si="1"/>
        <v>0</v>
      </c>
    </row>
    <row r="45" spans="1:32" ht="13.5" customHeight="1" x14ac:dyDescent="0.3"/>
    <row r="46" spans="1:32" ht="13.5" customHeight="1" x14ac:dyDescent="0.3"/>
    <row r="47" spans="1:32" ht="13.5" customHeight="1" x14ac:dyDescent="0.3"/>
    <row r="48" spans="1:3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2">
    <mergeCell ref="C44:E44"/>
    <mergeCell ref="G1:J1"/>
    <mergeCell ref="N1:Q1"/>
    <mergeCell ref="S1:V1"/>
    <mergeCell ref="G2:J2"/>
    <mergeCell ref="N2:Q2"/>
    <mergeCell ref="S2:V2"/>
    <mergeCell ref="D2:E2"/>
    <mergeCell ref="D3:E3"/>
    <mergeCell ref="D4:E4"/>
    <mergeCell ref="D5:E5"/>
    <mergeCell ref="D1:E1"/>
  </mergeCells>
  <conditionalFormatting sqref="F7:AE43">
    <cfRule type="containsBlanks" dxfId="42" priority="1">
      <formula>LEN(TRIM(F7))=0</formula>
    </cfRule>
  </conditionalFormatting>
  <conditionalFormatting sqref="AF7:AF43">
    <cfRule type="cellIs" dxfId="11" priority="2" operator="between">
      <formula>86</formula>
      <formula>100</formula>
    </cfRule>
  </conditionalFormatting>
  <conditionalFormatting sqref="AF7:AF43">
    <cfRule type="cellIs" dxfId="10" priority="3" operator="between">
      <formula>70</formula>
      <formula>85</formula>
    </cfRule>
  </conditionalFormatting>
  <conditionalFormatting sqref="AF7:AF43">
    <cfRule type="cellIs" dxfId="9" priority="4" operator="between">
      <formula>55</formula>
      <formula>69</formula>
    </cfRule>
  </conditionalFormatting>
  <conditionalFormatting sqref="AF7:AF43">
    <cfRule type="cellIs" dxfId="8" priority="5" operator="between">
      <formula>0</formula>
      <formula>54</formula>
    </cfRule>
  </conditionalFormatting>
  <dataValidations count="6">
    <dataValidation type="list" allowBlank="1" showInputMessage="1" showErrorMessage="1" prompt="ניקוד מותר: 3 / 2 / 0" sqref="Z7:Z43" xr:uid="{00000000-0002-0000-1800-000000000000}">
      <formula1>"3,2,0"</formula1>
    </dataValidation>
    <dataValidation type="list" allowBlank="1" showInputMessage="1" showErrorMessage="1" prompt="ניקוד מותר: 6 / 3 / 0" sqref="K7:K43 Y7:Y43 AB7:AB43" xr:uid="{00000000-0002-0000-1800-000001000000}">
      <formula1>"6,3,0"</formula1>
    </dataValidation>
    <dataValidation type="list" allowBlank="1" showInputMessage="1" showErrorMessage="1" prompt="ניקוד מותר: 3 / 0" sqref="R7:R43 X7:X43" xr:uid="{00000000-0002-0000-1800-000002000000}">
      <formula1>"3,0"</formula1>
    </dataValidation>
    <dataValidation type="list" allowBlank="1" showInputMessage="1" showErrorMessage="1" prompt="ניקוד מותר: 4 / 0" sqref="F7:J43 L7:Q43 W7:W43 AA7:AA43 AC7:AD43" xr:uid="{00000000-0002-0000-1800-000003000000}">
      <formula1>"4,0"</formula1>
    </dataValidation>
    <dataValidation type="list" allowBlank="1" showInputMessage="1" showErrorMessage="1" prompt="ניקוד מותר: 2 / 0" sqref="S7:V43" xr:uid="{00000000-0002-0000-1800-000004000000}">
      <formula1>"2,0"</formula1>
    </dataValidation>
    <dataValidation type="list" allowBlank="1" showInputMessage="1" showErrorMessage="1" prompt="ניקוד מותר: 5 / 0" sqref="AE7:AE43" xr:uid="{00000000-0002-0000-1800-000005000000}">
      <formula1>"5,0"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BE9F7"/>
  </sheetPr>
  <dimension ref="A1:AF1000"/>
  <sheetViews>
    <sheetView showGridLines="0" rightToLeft="1" tabSelected="1" workbookViewId="0">
      <pane xSplit="5" ySplit="6" topLeftCell="F34" activePane="bottomRight" state="frozen"/>
      <selection pane="topRight" activeCell="F1" sqref="F1"/>
      <selection pane="bottomLeft" activeCell="A7" sqref="A7"/>
      <selection pane="bottomRight" activeCell="AF40" sqref="AF40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17" width="6.75" customWidth="1"/>
    <col min="18" max="18" width="7.33203125" customWidth="1"/>
    <col min="19" max="22" width="6.75" customWidth="1"/>
    <col min="23" max="23" width="6.83203125" customWidth="1"/>
    <col min="24" max="24" width="8" customWidth="1"/>
    <col min="25" max="25" width="7.33203125" customWidth="1"/>
    <col min="26" max="26" width="7.75" customWidth="1"/>
    <col min="27" max="27" width="7.25" customWidth="1"/>
    <col min="28" max="31" width="6.75" customWidth="1"/>
    <col min="32" max="32" width="9" customWidth="1"/>
  </cols>
  <sheetData>
    <row r="1" spans="1:32" ht="41.25" customHeight="1" x14ac:dyDescent="0.3">
      <c r="A1" s="1"/>
      <c r="B1" s="2"/>
      <c r="C1" s="3"/>
      <c r="D1" s="28" t="s">
        <v>1</v>
      </c>
      <c r="E1" s="23"/>
      <c r="F1" s="19" t="s">
        <v>2</v>
      </c>
      <c r="G1" s="29" t="s">
        <v>5</v>
      </c>
      <c r="H1" s="30"/>
      <c r="I1" s="30"/>
      <c r="J1" s="31"/>
      <c r="K1" s="4" t="s">
        <v>5</v>
      </c>
      <c r="L1" s="4" t="s">
        <v>5</v>
      </c>
      <c r="M1" s="4" t="s">
        <v>5</v>
      </c>
      <c r="N1" s="32" t="s">
        <v>17</v>
      </c>
      <c r="O1" s="30"/>
      <c r="P1" s="30"/>
      <c r="Q1" s="31"/>
      <c r="R1" s="4" t="s">
        <v>19</v>
      </c>
      <c r="S1" s="32" t="s">
        <v>8</v>
      </c>
      <c r="T1" s="30"/>
      <c r="U1" s="30"/>
      <c r="V1" s="31"/>
      <c r="W1" s="4" t="s">
        <v>19</v>
      </c>
      <c r="X1" s="4" t="s">
        <v>37</v>
      </c>
      <c r="Y1" s="4" t="s">
        <v>19</v>
      </c>
      <c r="Z1" s="4" t="s">
        <v>37</v>
      </c>
      <c r="AA1" s="4" t="s">
        <v>17</v>
      </c>
      <c r="AB1" s="4" t="s">
        <v>9</v>
      </c>
      <c r="AC1" s="4" t="s">
        <v>9</v>
      </c>
      <c r="AD1" s="4" t="s">
        <v>46</v>
      </c>
      <c r="AE1" s="4" t="s">
        <v>46</v>
      </c>
      <c r="AF1" s="1"/>
    </row>
    <row r="2" spans="1:32" ht="13.5" customHeight="1" x14ac:dyDescent="0.3">
      <c r="A2" s="5"/>
      <c r="B2" s="6"/>
      <c r="C2" s="7"/>
      <c r="D2" s="27" t="s">
        <v>18</v>
      </c>
      <c r="E2" s="23"/>
      <c r="F2" s="8">
        <v>1</v>
      </c>
      <c r="G2" s="33">
        <v>2</v>
      </c>
      <c r="H2" s="30"/>
      <c r="I2" s="30"/>
      <c r="J2" s="31"/>
      <c r="K2" s="8">
        <v>3</v>
      </c>
      <c r="L2" s="8">
        <v>4</v>
      </c>
      <c r="M2" s="8">
        <v>5</v>
      </c>
      <c r="N2" s="33">
        <v>6</v>
      </c>
      <c r="O2" s="30"/>
      <c r="P2" s="30"/>
      <c r="Q2" s="31"/>
      <c r="R2" s="8">
        <v>7</v>
      </c>
      <c r="S2" s="33">
        <v>8</v>
      </c>
      <c r="T2" s="30"/>
      <c r="U2" s="30"/>
      <c r="V2" s="31"/>
      <c r="W2" s="8">
        <v>9</v>
      </c>
      <c r="X2" s="8">
        <v>10</v>
      </c>
      <c r="Y2" s="8">
        <v>11</v>
      </c>
      <c r="Z2" s="8">
        <v>12</v>
      </c>
      <c r="AA2" s="8">
        <v>13</v>
      </c>
      <c r="AB2" s="8">
        <v>14</v>
      </c>
      <c r="AC2" s="8">
        <v>15</v>
      </c>
      <c r="AD2" s="8">
        <v>16</v>
      </c>
      <c r="AE2" s="8">
        <v>17</v>
      </c>
      <c r="AF2" s="5"/>
    </row>
    <row r="3" spans="1:32" ht="13.5" customHeight="1" x14ac:dyDescent="0.3">
      <c r="A3" s="5"/>
      <c r="B3" s="6"/>
      <c r="C3" s="7"/>
      <c r="D3" s="27" t="s">
        <v>21</v>
      </c>
      <c r="E3" s="23"/>
      <c r="F3" s="8">
        <v>1</v>
      </c>
      <c r="G3" s="8" t="s">
        <v>23</v>
      </c>
      <c r="H3" s="8" t="s">
        <v>24</v>
      </c>
      <c r="I3" s="8" t="s">
        <v>66</v>
      </c>
      <c r="J3" s="8" t="s">
        <v>67</v>
      </c>
      <c r="K3" s="8">
        <v>3</v>
      </c>
      <c r="L3" s="8">
        <v>4</v>
      </c>
      <c r="M3" s="8">
        <v>5</v>
      </c>
      <c r="N3" s="20" t="s">
        <v>25</v>
      </c>
      <c r="O3" s="8" t="s">
        <v>26</v>
      </c>
      <c r="P3" s="8" t="s">
        <v>68</v>
      </c>
      <c r="Q3" s="8" t="s">
        <v>69</v>
      </c>
      <c r="R3" s="8">
        <v>7</v>
      </c>
      <c r="S3" s="8" t="s">
        <v>70</v>
      </c>
      <c r="T3" s="8" t="s">
        <v>71</v>
      </c>
      <c r="U3" s="8" t="s">
        <v>72</v>
      </c>
      <c r="V3" s="8" t="s">
        <v>73</v>
      </c>
      <c r="W3" s="8">
        <v>9</v>
      </c>
      <c r="X3" s="8">
        <v>10</v>
      </c>
      <c r="Y3" s="8">
        <v>11</v>
      </c>
      <c r="Z3" s="8">
        <v>12</v>
      </c>
      <c r="AA3" s="8">
        <v>13</v>
      </c>
      <c r="AB3" s="8">
        <v>14</v>
      </c>
      <c r="AC3" s="8">
        <v>15</v>
      </c>
      <c r="AD3" s="8">
        <v>16</v>
      </c>
      <c r="AE3" s="8">
        <v>17</v>
      </c>
      <c r="AF3" s="5"/>
    </row>
    <row r="4" spans="1:32" ht="13.5" customHeight="1" x14ac:dyDescent="0.3">
      <c r="A4" s="9"/>
      <c r="B4" s="10"/>
      <c r="C4" s="11"/>
      <c r="D4" s="28" t="s">
        <v>29</v>
      </c>
      <c r="E4" s="23"/>
      <c r="F4" s="12" t="s">
        <v>14</v>
      </c>
      <c r="G4" s="12" t="s">
        <v>12</v>
      </c>
      <c r="H4" s="12" t="s">
        <v>11</v>
      </c>
      <c r="I4" s="12" t="s">
        <v>15</v>
      </c>
      <c r="J4" s="12" t="s">
        <v>6</v>
      </c>
      <c r="K4" s="12" t="s">
        <v>27</v>
      </c>
      <c r="L4" s="12" t="s">
        <v>28</v>
      </c>
      <c r="M4" s="12" t="s">
        <v>16</v>
      </c>
      <c r="N4" s="12" t="s">
        <v>10</v>
      </c>
      <c r="O4" s="12" t="s">
        <v>10</v>
      </c>
      <c r="P4" s="12" t="s">
        <v>11</v>
      </c>
      <c r="Q4" s="12" t="s">
        <v>30</v>
      </c>
      <c r="R4" s="12" t="s">
        <v>31</v>
      </c>
      <c r="S4" s="12" t="s">
        <v>32</v>
      </c>
      <c r="T4" s="12" t="s">
        <v>32</v>
      </c>
      <c r="U4" s="12" t="s">
        <v>32</v>
      </c>
      <c r="V4" s="12" t="s">
        <v>34</v>
      </c>
      <c r="W4" s="12" t="s">
        <v>35</v>
      </c>
      <c r="X4" s="12" t="s">
        <v>38</v>
      </c>
      <c r="Y4" s="12" t="s">
        <v>40</v>
      </c>
      <c r="Z4" s="12" t="s">
        <v>13</v>
      </c>
      <c r="AA4" s="12" t="s">
        <v>20</v>
      </c>
      <c r="AB4" s="12" t="s">
        <v>44</v>
      </c>
      <c r="AC4" s="12" t="s">
        <v>45</v>
      </c>
      <c r="AD4" s="12" t="s">
        <v>47</v>
      </c>
      <c r="AE4" s="12" t="s">
        <v>48</v>
      </c>
      <c r="AF4" s="9"/>
    </row>
    <row r="5" spans="1:32" ht="13.5" customHeight="1" x14ac:dyDescent="0.3">
      <c r="A5" s="9"/>
      <c r="B5" s="10"/>
      <c r="C5" s="11"/>
      <c r="D5" s="28" t="s">
        <v>33</v>
      </c>
      <c r="E5" s="23"/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7</v>
      </c>
      <c r="L5" s="12" t="s">
        <v>7</v>
      </c>
      <c r="M5" s="12" t="s">
        <v>7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7</v>
      </c>
      <c r="S5" s="12" t="s">
        <v>3</v>
      </c>
      <c r="T5" s="12" t="s">
        <v>3</v>
      </c>
      <c r="U5" s="12" t="s">
        <v>3</v>
      </c>
      <c r="V5" s="12" t="s">
        <v>7</v>
      </c>
      <c r="W5" s="12" t="s">
        <v>3</v>
      </c>
      <c r="X5" s="12" t="s">
        <v>3</v>
      </c>
      <c r="Y5" s="12" t="s">
        <v>3</v>
      </c>
      <c r="Z5" s="12" t="s">
        <v>4</v>
      </c>
      <c r="AA5" s="12" t="s">
        <v>7</v>
      </c>
      <c r="AB5" s="12" t="s">
        <v>3</v>
      </c>
      <c r="AC5" s="12" t="s">
        <v>3</v>
      </c>
      <c r="AD5" s="12" t="s">
        <v>4</v>
      </c>
      <c r="AE5" s="12" t="s">
        <v>7</v>
      </c>
      <c r="AF5" s="9"/>
    </row>
    <row r="6" spans="1:32" ht="13.5" customHeight="1" x14ac:dyDescent="0.3">
      <c r="A6" s="13" t="s">
        <v>36</v>
      </c>
      <c r="B6" s="14" t="s">
        <v>39</v>
      </c>
      <c r="C6" s="15" t="s">
        <v>41</v>
      </c>
      <c r="D6" s="14" t="s">
        <v>0</v>
      </c>
      <c r="E6" s="14" t="s">
        <v>42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43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4" t="s">
        <v>49</v>
      </c>
    </row>
    <row r="7" spans="1:32" ht="13.5" customHeight="1" x14ac:dyDescent="0.3">
      <c r="A7" s="17">
        <v>1</v>
      </c>
      <c r="B7" s="14"/>
      <c r="C7" s="15"/>
      <c r="D7" s="14" t="s">
        <v>22</v>
      </c>
      <c r="E7" s="14">
        <v>4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">
        <f t="shared" ref="AF7:AF43" si="0">SUM(F7:AE7)</f>
        <v>0</v>
      </c>
    </row>
    <row r="8" spans="1:32" ht="13.5" customHeight="1" x14ac:dyDescent="0.3">
      <c r="A8" s="17">
        <v>2</v>
      </c>
      <c r="B8" s="14"/>
      <c r="C8" s="15"/>
      <c r="D8" s="14" t="s">
        <v>22</v>
      </c>
      <c r="E8" s="14">
        <v>4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>
        <f t="shared" si="0"/>
        <v>0</v>
      </c>
    </row>
    <row r="9" spans="1:32" ht="13.5" customHeight="1" x14ac:dyDescent="0.3">
      <c r="A9" s="17">
        <v>3</v>
      </c>
      <c r="B9" s="14"/>
      <c r="C9" s="15"/>
      <c r="D9" s="14" t="s">
        <v>22</v>
      </c>
      <c r="E9" s="14">
        <v>4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">
        <f t="shared" si="0"/>
        <v>0</v>
      </c>
    </row>
    <row r="10" spans="1:32" ht="13.5" customHeight="1" x14ac:dyDescent="0.3">
      <c r="A10" s="17">
        <v>4</v>
      </c>
      <c r="B10" s="14"/>
      <c r="C10" s="15"/>
      <c r="D10" s="14" t="s">
        <v>22</v>
      </c>
      <c r="E10" s="14">
        <v>4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">
        <f t="shared" si="0"/>
        <v>0</v>
      </c>
    </row>
    <row r="11" spans="1:32" ht="13.5" customHeight="1" x14ac:dyDescent="0.3">
      <c r="A11" s="17">
        <v>5</v>
      </c>
      <c r="B11" s="14"/>
      <c r="C11" s="15"/>
      <c r="D11" s="14" t="s">
        <v>22</v>
      </c>
      <c r="E11" s="14">
        <v>4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">
        <f t="shared" si="0"/>
        <v>0</v>
      </c>
    </row>
    <row r="12" spans="1:32" ht="13.5" customHeight="1" x14ac:dyDescent="0.3">
      <c r="A12" s="17">
        <v>6</v>
      </c>
      <c r="B12" s="14"/>
      <c r="C12" s="15"/>
      <c r="D12" s="14" t="s">
        <v>22</v>
      </c>
      <c r="E12" s="14">
        <v>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>
        <f t="shared" si="0"/>
        <v>0</v>
      </c>
    </row>
    <row r="13" spans="1:32" ht="13.5" customHeight="1" x14ac:dyDescent="0.3">
      <c r="A13" s="17">
        <v>7</v>
      </c>
      <c r="B13" s="14"/>
      <c r="C13" s="15"/>
      <c r="D13" s="14" t="s">
        <v>22</v>
      </c>
      <c r="E13" s="14">
        <v>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">
        <f t="shared" si="0"/>
        <v>0</v>
      </c>
    </row>
    <row r="14" spans="1:32" ht="13.5" customHeight="1" x14ac:dyDescent="0.3">
      <c r="A14" s="17">
        <v>8</v>
      </c>
      <c r="B14" s="14"/>
      <c r="C14" s="15"/>
      <c r="D14" s="14" t="s">
        <v>22</v>
      </c>
      <c r="E14" s="14">
        <v>4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">
        <f t="shared" si="0"/>
        <v>0</v>
      </c>
    </row>
    <row r="15" spans="1:32" ht="13.5" customHeight="1" x14ac:dyDescent="0.3">
      <c r="A15" s="17">
        <v>9</v>
      </c>
      <c r="B15" s="14"/>
      <c r="C15" s="15"/>
      <c r="D15" s="14" t="s">
        <v>22</v>
      </c>
      <c r="E15" s="14">
        <v>4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">
        <f t="shared" si="0"/>
        <v>0</v>
      </c>
    </row>
    <row r="16" spans="1:32" ht="13.5" customHeight="1" x14ac:dyDescent="0.3">
      <c r="A16" s="17">
        <v>10</v>
      </c>
      <c r="B16" s="14"/>
      <c r="C16" s="15"/>
      <c r="D16" s="14" t="s">
        <v>22</v>
      </c>
      <c r="E16" s="14">
        <v>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>
        <f t="shared" si="0"/>
        <v>0</v>
      </c>
    </row>
    <row r="17" spans="1:32" ht="13.5" customHeight="1" x14ac:dyDescent="0.3">
      <c r="A17" s="17">
        <v>11</v>
      </c>
      <c r="B17" s="14"/>
      <c r="C17" s="15"/>
      <c r="D17" s="14" t="s">
        <v>22</v>
      </c>
      <c r="E17" s="14">
        <v>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">
        <f t="shared" si="0"/>
        <v>0</v>
      </c>
    </row>
    <row r="18" spans="1:32" ht="13.5" customHeight="1" x14ac:dyDescent="0.3">
      <c r="A18" s="17">
        <v>12</v>
      </c>
      <c r="B18" s="14"/>
      <c r="C18" s="15"/>
      <c r="D18" s="14" t="s">
        <v>22</v>
      </c>
      <c r="E18" s="14">
        <v>4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">
        <f t="shared" si="0"/>
        <v>0</v>
      </c>
    </row>
    <row r="19" spans="1:32" ht="13.5" customHeight="1" x14ac:dyDescent="0.3">
      <c r="A19" s="17">
        <v>13</v>
      </c>
      <c r="B19" s="14"/>
      <c r="C19" s="15"/>
      <c r="D19" s="14" t="s">
        <v>22</v>
      </c>
      <c r="E19" s="14">
        <v>4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">
        <f t="shared" si="0"/>
        <v>0</v>
      </c>
    </row>
    <row r="20" spans="1:32" ht="13.5" customHeight="1" x14ac:dyDescent="0.3">
      <c r="A20" s="17">
        <v>14</v>
      </c>
      <c r="B20" s="14"/>
      <c r="C20" s="15"/>
      <c r="D20" s="14" t="s">
        <v>22</v>
      </c>
      <c r="E20" s="14">
        <v>4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">
        <f t="shared" si="0"/>
        <v>0</v>
      </c>
    </row>
    <row r="21" spans="1:32" ht="13.5" customHeight="1" x14ac:dyDescent="0.3">
      <c r="A21" s="17">
        <v>15</v>
      </c>
      <c r="B21" s="14"/>
      <c r="C21" s="15"/>
      <c r="D21" s="14" t="s">
        <v>22</v>
      </c>
      <c r="E21" s="14">
        <v>4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">
        <f t="shared" si="0"/>
        <v>0</v>
      </c>
    </row>
    <row r="22" spans="1:32" ht="13.5" customHeight="1" x14ac:dyDescent="0.3">
      <c r="A22" s="17">
        <v>16</v>
      </c>
      <c r="B22" s="14"/>
      <c r="C22" s="15"/>
      <c r="D22" s="14" t="s">
        <v>22</v>
      </c>
      <c r="E22" s="14">
        <v>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">
        <f t="shared" si="0"/>
        <v>0</v>
      </c>
    </row>
    <row r="23" spans="1:32" ht="13.5" customHeight="1" x14ac:dyDescent="0.3">
      <c r="A23" s="17">
        <v>17</v>
      </c>
      <c r="B23" s="14"/>
      <c r="C23" s="15"/>
      <c r="D23" s="14" t="s">
        <v>22</v>
      </c>
      <c r="E23" s="14">
        <v>4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">
        <f t="shared" si="0"/>
        <v>0</v>
      </c>
    </row>
    <row r="24" spans="1:32" ht="13.5" customHeight="1" x14ac:dyDescent="0.3">
      <c r="A24" s="17">
        <v>18</v>
      </c>
      <c r="B24" s="14"/>
      <c r="C24" s="15"/>
      <c r="D24" s="14" t="s">
        <v>22</v>
      </c>
      <c r="E24" s="14">
        <v>4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">
        <f t="shared" si="0"/>
        <v>0</v>
      </c>
    </row>
    <row r="25" spans="1:32" ht="13.5" customHeight="1" x14ac:dyDescent="0.3">
      <c r="A25" s="17">
        <v>19</v>
      </c>
      <c r="B25" s="14"/>
      <c r="C25" s="15"/>
      <c r="D25" s="14" t="s">
        <v>22</v>
      </c>
      <c r="E25" s="14">
        <v>4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">
        <f t="shared" si="0"/>
        <v>0</v>
      </c>
    </row>
    <row r="26" spans="1:32" ht="13.5" customHeight="1" x14ac:dyDescent="0.3">
      <c r="A26" s="17">
        <v>20</v>
      </c>
      <c r="B26" s="14"/>
      <c r="C26" s="15"/>
      <c r="D26" s="14" t="s">
        <v>22</v>
      </c>
      <c r="E26" s="14">
        <v>4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">
        <f t="shared" si="0"/>
        <v>0</v>
      </c>
    </row>
    <row r="27" spans="1:32" ht="13.5" customHeight="1" x14ac:dyDescent="0.3">
      <c r="A27" s="17">
        <v>21</v>
      </c>
      <c r="B27" s="14"/>
      <c r="C27" s="15"/>
      <c r="D27" s="14" t="s">
        <v>22</v>
      </c>
      <c r="E27" s="14">
        <v>4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">
        <f t="shared" si="0"/>
        <v>0</v>
      </c>
    </row>
    <row r="28" spans="1:32" ht="13.5" customHeight="1" x14ac:dyDescent="0.3">
      <c r="A28" s="17">
        <v>22</v>
      </c>
      <c r="B28" s="14"/>
      <c r="C28" s="15"/>
      <c r="D28" s="14" t="s">
        <v>22</v>
      </c>
      <c r="E28" s="14">
        <v>4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">
        <f t="shared" si="0"/>
        <v>0</v>
      </c>
    </row>
    <row r="29" spans="1:32" ht="13.5" customHeight="1" x14ac:dyDescent="0.3">
      <c r="A29" s="17">
        <v>23</v>
      </c>
      <c r="B29" s="14"/>
      <c r="C29" s="15"/>
      <c r="D29" s="14" t="s">
        <v>22</v>
      </c>
      <c r="E29" s="14">
        <v>4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">
        <f t="shared" si="0"/>
        <v>0</v>
      </c>
    </row>
    <row r="30" spans="1:32" ht="13.5" customHeight="1" x14ac:dyDescent="0.3">
      <c r="A30" s="17">
        <v>24</v>
      </c>
      <c r="B30" s="14"/>
      <c r="C30" s="15"/>
      <c r="D30" s="14" t="s">
        <v>22</v>
      </c>
      <c r="E30" s="14">
        <v>4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">
        <f t="shared" si="0"/>
        <v>0</v>
      </c>
    </row>
    <row r="31" spans="1:32" ht="13.5" customHeight="1" x14ac:dyDescent="0.3">
      <c r="A31" s="17">
        <v>25</v>
      </c>
      <c r="B31" s="14"/>
      <c r="C31" s="15"/>
      <c r="D31" s="14" t="s">
        <v>22</v>
      </c>
      <c r="E31" s="14">
        <v>4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">
        <f t="shared" si="0"/>
        <v>0</v>
      </c>
    </row>
    <row r="32" spans="1:32" ht="13.5" customHeight="1" x14ac:dyDescent="0.3">
      <c r="A32" s="17">
        <v>26</v>
      </c>
      <c r="B32" s="14"/>
      <c r="C32" s="15"/>
      <c r="D32" s="14" t="s">
        <v>22</v>
      </c>
      <c r="E32" s="14">
        <v>4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">
        <f t="shared" si="0"/>
        <v>0</v>
      </c>
    </row>
    <row r="33" spans="1:32" ht="13.5" customHeight="1" x14ac:dyDescent="0.3">
      <c r="A33" s="17">
        <v>27</v>
      </c>
      <c r="B33" s="14"/>
      <c r="C33" s="15"/>
      <c r="D33" s="14" t="s">
        <v>22</v>
      </c>
      <c r="E33" s="14">
        <v>4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">
        <f t="shared" si="0"/>
        <v>0</v>
      </c>
    </row>
    <row r="34" spans="1:32" ht="13.5" customHeight="1" x14ac:dyDescent="0.3">
      <c r="A34" s="17">
        <v>28</v>
      </c>
      <c r="B34" s="14"/>
      <c r="C34" s="15"/>
      <c r="D34" s="14" t="s">
        <v>22</v>
      </c>
      <c r="E34" s="14">
        <v>4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">
        <f t="shared" si="0"/>
        <v>0</v>
      </c>
    </row>
    <row r="35" spans="1:32" ht="13.5" customHeight="1" x14ac:dyDescent="0.3">
      <c r="A35" s="17">
        <v>29</v>
      </c>
      <c r="B35" s="14"/>
      <c r="C35" s="15"/>
      <c r="D35" s="14" t="s">
        <v>22</v>
      </c>
      <c r="E35" s="14">
        <v>4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">
        <f t="shared" si="0"/>
        <v>0</v>
      </c>
    </row>
    <row r="36" spans="1:32" ht="13.5" customHeight="1" x14ac:dyDescent="0.3">
      <c r="A36" s="17">
        <v>30</v>
      </c>
      <c r="B36" s="14"/>
      <c r="C36" s="15"/>
      <c r="D36" s="14" t="s">
        <v>22</v>
      </c>
      <c r="E36" s="14">
        <v>4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">
        <f t="shared" si="0"/>
        <v>0</v>
      </c>
    </row>
    <row r="37" spans="1:32" ht="13.5" customHeight="1" x14ac:dyDescent="0.3">
      <c r="A37" s="17">
        <v>31</v>
      </c>
      <c r="B37" s="14"/>
      <c r="C37" s="15"/>
      <c r="D37" s="14" t="s">
        <v>22</v>
      </c>
      <c r="E37" s="14">
        <v>4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">
        <f t="shared" si="0"/>
        <v>0</v>
      </c>
    </row>
    <row r="38" spans="1:32" ht="13.5" customHeight="1" x14ac:dyDescent="0.3">
      <c r="A38" s="17">
        <v>32</v>
      </c>
      <c r="B38" s="14"/>
      <c r="C38" s="15"/>
      <c r="D38" s="14" t="s">
        <v>22</v>
      </c>
      <c r="E38" s="14">
        <v>4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">
        <f t="shared" si="0"/>
        <v>0</v>
      </c>
    </row>
    <row r="39" spans="1:32" ht="13.5" customHeight="1" x14ac:dyDescent="0.3">
      <c r="A39" s="17">
        <v>33</v>
      </c>
      <c r="B39" s="14"/>
      <c r="C39" s="15"/>
      <c r="D39" s="14" t="s">
        <v>22</v>
      </c>
      <c r="E39" s="14">
        <v>4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>
        <f t="shared" si="0"/>
        <v>0</v>
      </c>
    </row>
    <row r="40" spans="1:32" ht="13.5" customHeight="1" x14ac:dyDescent="0.3">
      <c r="A40" s="17">
        <v>34</v>
      </c>
      <c r="B40" s="14"/>
      <c r="C40" s="15"/>
      <c r="D40" s="14" t="s">
        <v>22</v>
      </c>
      <c r="E40" s="14">
        <v>4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">
        <f t="shared" si="0"/>
        <v>0</v>
      </c>
    </row>
    <row r="41" spans="1:32" ht="13.5" customHeight="1" x14ac:dyDescent="0.3">
      <c r="A41" s="17">
        <v>35</v>
      </c>
      <c r="B41" s="14"/>
      <c r="C41" s="15"/>
      <c r="D41" s="14" t="s">
        <v>22</v>
      </c>
      <c r="E41" s="14">
        <v>4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">
        <f t="shared" si="0"/>
        <v>0</v>
      </c>
    </row>
    <row r="42" spans="1:32" ht="13.5" customHeight="1" x14ac:dyDescent="0.3">
      <c r="A42" s="17">
        <v>36</v>
      </c>
      <c r="B42" s="14"/>
      <c r="C42" s="15"/>
      <c r="D42" s="14" t="s">
        <v>22</v>
      </c>
      <c r="E42" s="14">
        <v>4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">
        <f t="shared" si="0"/>
        <v>0</v>
      </c>
    </row>
    <row r="43" spans="1:32" ht="13.5" customHeight="1" x14ac:dyDescent="0.3">
      <c r="A43" s="17">
        <v>37</v>
      </c>
      <c r="B43" s="14"/>
      <c r="C43" s="15"/>
      <c r="D43" s="14" t="s">
        <v>22</v>
      </c>
      <c r="E43" s="14">
        <v>4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>
        <f t="shared" si="0"/>
        <v>0</v>
      </c>
    </row>
    <row r="44" spans="1:32" ht="14" x14ac:dyDescent="0.3">
      <c r="C44" s="34" t="s">
        <v>80</v>
      </c>
      <c r="D44" s="34"/>
      <c r="E44" s="34"/>
      <c r="F44" s="36">
        <f>IFERROR(AVERAGE(F$7:F$43),0)</f>
        <v>0</v>
      </c>
      <c r="G44" s="36">
        <f t="shared" ref="G44:AE44" si="1">IFERROR(AVERAGE(G$7:G$43),0)</f>
        <v>0</v>
      </c>
      <c r="H44" s="36">
        <f t="shared" si="1"/>
        <v>0</v>
      </c>
      <c r="I44" s="36">
        <f t="shared" si="1"/>
        <v>0</v>
      </c>
      <c r="J44" s="36">
        <f t="shared" si="1"/>
        <v>0</v>
      </c>
      <c r="K44" s="36">
        <f t="shared" si="1"/>
        <v>0</v>
      </c>
      <c r="L44" s="36">
        <f t="shared" si="1"/>
        <v>0</v>
      </c>
      <c r="M44" s="36">
        <f t="shared" si="1"/>
        <v>0</v>
      </c>
      <c r="N44" s="36">
        <f t="shared" si="1"/>
        <v>0</v>
      </c>
      <c r="O44" s="36">
        <f t="shared" si="1"/>
        <v>0</v>
      </c>
      <c r="P44" s="36">
        <f t="shared" si="1"/>
        <v>0</v>
      </c>
      <c r="Q44" s="36">
        <f t="shared" si="1"/>
        <v>0</v>
      </c>
      <c r="R44" s="36">
        <f t="shared" si="1"/>
        <v>0</v>
      </c>
      <c r="S44" s="36">
        <f t="shared" si="1"/>
        <v>0</v>
      </c>
      <c r="T44" s="36">
        <f t="shared" si="1"/>
        <v>0</v>
      </c>
      <c r="U44" s="36">
        <f t="shared" si="1"/>
        <v>0</v>
      </c>
      <c r="V44" s="36">
        <f t="shared" si="1"/>
        <v>0</v>
      </c>
      <c r="W44" s="36">
        <f t="shared" si="1"/>
        <v>0</v>
      </c>
      <c r="X44" s="36">
        <f t="shared" si="1"/>
        <v>0</v>
      </c>
      <c r="Y44" s="36">
        <f t="shared" si="1"/>
        <v>0</v>
      </c>
      <c r="Z44" s="36">
        <f t="shared" si="1"/>
        <v>0</v>
      </c>
      <c r="AA44" s="36">
        <f t="shared" si="1"/>
        <v>0</v>
      </c>
      <c r="AB44" s="36">
        <f t="shared" si="1"/>
        <v>0</v>
      </c>
      <c r="AC44" s="36">
        <f t="shared" si="1"/>
        <v>0</v>
      </c>
      <c r="AD44" s="36">
        <f t="shared" si="1"/>
        <v>0</v>
      </c>
      <c r="AE44" s="36">
        <f t="shared" si="1"/>
        <v>0</v>
      </c>
    </row>
    <row r="45" spans="1:32" ht="13.5" customHeight="1" x14ac:dyDescent="0.3"/>
    <row r="46" spans="1:32" ht="13.5" customHeight="1" x14ac:dyDescent="0.3"/>
    <row r="47" spans="1:32" ht="13.5" customHeight="1" x14ac:dyDescent="0.3"/>
    <row r="48" spans="1:3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2">
    <mergeCell ref="C44:E44"/>
    <mergeCell ref="G1:J1"/>
    <mergeCell ref="N1:Q1"/>
    <mergeCell ref="S1:V1"/>
    <mergeCell ref="G2:J2"/>
    <mergeCell ref="N2:Q2"/>
    <mergeCell ref="S2:V2"/>
    <mergeCell ref="D2:E2"/>
    <mergeCell ref="D3:E3"/>
    <mergeCell ref="D4:E4"/>
    <mergeCell ref="D5:E5"/>
    <mergeCell ref="D1:E1"/>
  </mergeCells>
  <conditionalFormatting sqref="F7:AE43">
    <cfRule type="containsBlanks" dxfId="41" priority="1">
      <formula>LEN(TRIM(F7))=0</formula>
    </cfRule>
  </conditionalFormatting>
  <conditionalFormatting sqref="AF7:AF43">
    <cfRule type="cellIs" dxfId="7" priority="2" operator="between">
      <formula>86</formula>
      <formula>100</formula>
    </cfRule>
  </conditionalFormatting>
  <conditionalFormatting sqref="AF7:AF43">
    <cfRule type="cellIs" dxfId="6" priority="3" operator="between">
      <formula>70</formula>
      <formula>85</formula>
    </cfRule>
  </conditionalFormatting>
  <conditionalFormatting sqref="AF7:AF43">
    <cfRule type="cellIs" dxfId="5" priority="4" operator="between">
      <formula>55</formula>
      <formula>69</formula>
    </cfRule>
  </conditionalFormatting>
  <conditionalFormatting sqref="AF7:AF43">
    <cfRule type="cellIs" dxfId="4" priority="5" operator="between">
      <formula>0</formula>
      <formula>54</formula>
    </cfRule>
  </conditionalFormatting>
  <dataValidations count="6">
    <dataValidation type="list" allowBlank="1" showInputMessage="1" showErrorMessage="1" prompt="ניקוד מותר: 3 / 2 / 0" sqref="Z7:Z43" xr:uid="{00000000-0002-0000-1900-000000000000}">
      <formula1>"3,2,0"</formula1>
    </dataValidation>
    <dataValidation type="list" allowBlank="1" showInputMessage="1" showErrorMessage="1" prompt="ניקוד מותר: 6 / 3 / 0" sqref="K7:K43 Y7:Y43 AB7:AB43" xr:uid="{00000000-0002-0000-1900-000001000000}">
      <formula1>"6,3,0"</formula1>
    </dataValidation>
    <dataValidation type="list" allowBlank="1" showInputMessage="1" showErrorMessage="1" prompt="ניקוד מותר: 3 / 0" sqref="R7:R43 X7:X43" xr:uid="{00000000-0002-0000-1900-000002000000}">
      <formula1>"3,0"</formula1>
    </dataValidation>
    <dataValidation type="list" allowBlank="1" showInputMessage="1" showErrorMessage="1" prompt="ניקוד מותר: 4 / 0" sqref="F7:J43 L7:Q43 W7:W43 AA7:AA43 AC7:AD43" xr:uid="{00000000-0002-0000-1900-000003000000}">
      <formula1>"4,0"</formula1>
    </dataValidation>
    <dataValidation type="list" allowBlank="1" showInputMessage="1" showErrorMessage="1" prompt="ניקוד מותר: 2 / 0" sqref="S7:V43" xr:uid="{00000000-0002-0000-1900-000004000000}">
      <formula1>"2,0"</formula1>
    </dataValidation>
    <dataValidation type="list" allowBlank="1" showInputMessage="1" showErrorMessage="1" prompt="ניקוד מותר: 5 / 0" sqref="AE7:AE43" xr:uid="{00000000-0002-0000-1900-000005000000}">
      <formula1>"5,0"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BE9F7"/>
  </sheetPr>
  <dimension ref="A1:AF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17" width="6.75" customWidth="1"/>
    <col min="18" max="18" width="7.33203125" customWidth="1"/>
    <col min="19" max="22" width="6.75" customWidth="1"/>
    <col min="23" max="23" width="7.58203125" customWidth="1"/>
    <col min="24" max="24" width="8" customWidth="1"/>
    <col min="25" max="25" width="7.33203125" customWidth="1"/>
    <col min="26" max="26" width="7.75" customWidth="1"/>
    <col min="27" max="27" width="7.25" customWidth="1"/>
    <col min="28" max="31" width="6.75" customWidth="1"/>
    <col min="32" max="32" width="9" customWidth="1"/>
  </cols>
  <sheetData>
    <row r="1" spans="1:32" ht="41.25" customHeight="1" x14ac:dyDescent="0.3">
      <c r="A1" s="1"/>
      <c r="B1" s="2"/>
      <c r="C1" s="3"/>
      <c r="D1" s="28" t="s">
        <v>1</v>
      </c>
      <c r="E1" s="23"/>
      <c r="F1" s="19" t="s">
        <v>2</v>
      </c>
      <c r="G1" s="29" t="s">
        <v>5</v>
      </c>
      <c r="H1" s="30"/>
      <c r="I1" s="30"/>
      <c r="J1" s="31"/>
      <c r="K1" s="4" t="s">
        <v>5</v>
      </c>
      <c r="L1" s="4" t="s">
        <v>5</v>
      </c>
      <c r="M1" s="4" t="s">
        <v>5</v>
      </c>
      <c r="N1" s="32" t="s">
        <v>17</v>
      </c>
      <c r="O1" s="30"/>
      <c r="P1" s="30"/>
      <c r="Q1" s="31"/>
      <c r="R1" s="4" t="s">
        <v>19</v>
      </c>
      <c r="S1" s="32" t="s">
        <v>8</v>
      </c>
      <c r="T1" s="30"/>
      <c r="U1" s="30"/>
      <c r="V1" s="31"/>
      <c r="W1" s="4" t="s">
        <v>19</v>
      </c>
      <c r="X1" s="4" t="s">
        <v>37</v>
      </c>
      <c r="Y1" s="4" t="s">
        <v>19</v>
      </c>
      <c r="Z1" s="4" t="s">
        <v>37</v>
      </c>
      <c r="AA1" s="4" t="s">
        <v>17</v>
      </c>
      <c r="AB1" s="4" t="s">
        <v>9</v>
      </c>
      <c r="AC1" s="4" t="s">
        <v>9</v>
      </c>
      <c r="AD1" s="4" t="s">
        <v>46</v>
      </c>
      <c r="AE1" s="4" t="s">
        <v>46</v>
      </c>
      <c r="AF1" s="1"/>
    </row>
    <row r="2" spans="1:32" ht="13.5" customHeight="1" x14ac:dyDescent="0.3">
      <c r="A2" s="5"/>
      <c r="B2" s="6"/>
      <c r="C2" s="7"/>
      <c r="D2" s="27" t="s">
        <v>18</v>
      </c>
      <c r="E2" s="23"/>
      <c r="F2" s="8">
        <v>1</v>
      </c>
      <c r="G2" s="33">
        <v>2</v>
      </c>
      <c r="H2" s="30"/>
      <c r="I2" s="30"/>
      <c r="J2" s="31"/>
      <c r="K2" s="8">
        <v>3</v>
      </c>
      <c r="L2" s="8">
        <v>4</v>
      </c>
      <c r="M2" s="8">
        <v>5</v>
      </c>
      <c r="N2" s="33">
        <v>6</v>
      </c>
      <c r="O2" s="30"/>
      <c r="P2" s="30"/>
      <c r="Q2" s="31"/>
      <c r="R2" s="8">
        <v>7</v>
      </c>
      <c r="S2" s="33">
        <v>8</v>
      </c>
      <c r="T2" s="30"/>
      <c r="U2" s="30"/>
      <c r="V2" s="31"/>
      <c r="W2" s="8">
        <v>9</v>
      </c>
      <c r="X2" s="8">
        <v>10</v>
      </c>
      <c r="Y2" s="8">
        <v>11</v>
      </c>
      <c r="Z2" s="8">
        <v>12</v>
      </c>
      <c r="AA2" s="8">
        <v>13</v>
      </c>
      <c r="AB2" s="8">
        <v>14</v>
      </c>
      <c r="AC2" s="8">
        <v>15</v>
      </c>
      <c r="AD2" s="8">
        <v>16</v>
      </c>
      <c r="AE2" s="8">
        <v>17</v>
      </c>
      <c r="AF2" s="5"/>
    </row>
    <row r="3" spans="1:32" ht="13.5" customHeight="1" x14ac:dyDescent="0.3">
      <c r="A3" s="5"/>
      <c r="B3" s="6"/>
      <c r="C3" s="7"/>
      <c r="D3" s="27" t="s">
        <v>21</v>
      </c>
      <c r="E3" s="23"/>
      <c r="F3" s="8">
        <v>1</v>
      </c>
      <c r="G3" s="8" t="s">
        <v>23</v>
      </c>
      <c r="H3" s="8" t="s">
        <v>24</v>
      </c>
      <c r="I3" s="8" t="s">
        <v>66</v>
      </c>
      <c r="J3" s="8" t="s">
        <v>67</v>
      </c>
      <c r="K3" s="8">
        <v>3</v>
      </c>
      <c r="L3" s="8">
        <v>4</v>
      </c>
      <c r="M3" s="8">
        <v>5</v>
      </c>
      <c r="N3" s="20" t="s">
        <v>25</v>
      </c>
      <c r="O3" s="8" t="s">
        <v>26</v>
      </c>
      <c r="P3" s="8" t="s">
        <v>68</v>
      </c>
      <c r="Q3" s="8" t="s">
        <v>69</v>
      </c>
      <c r="R3" s="8">
        <v>7</v>
      </c>
      <c r="S3" s="8" t="s">
        <v>70</v>
      </c>
      <c r="T3" s="8" t="s">
        <v>71</v>
      </c>
      <c r="U3" s="8" t="s">
        <v>72</v>
      </c>
      <c r="V3" s="8" t="s">
        <v>73</v>
      </c>
      <c r="W3" s="8">
        <v>9</v>
      </c>
      <c r="X3" s="8">
        <v>10</v>
      </c>
      <c r="Y3" s="8">
        <v>11</v>
      </c>
      <c r="Z3" s="8">
        <v>12</v>
      </c>
      <c r="AA3" s="8">
        <v>13</v>
      </c>
      <c r="AB3" s="8">
        <v>14</v>
      </c>
      <c r="AC3" s="8">
        <v>15</v>
      </c>
      <c r="AD3" s="8">
        <v>16</v>
      </c>
      <c r="AE3" s="8">
        <v>17</v>
      </c>
      <c r="AF3" s="5"/>
    </row>
    <row r="4" spans="1:32" ht="13.5" customHeight="1" x14ac:dyDescent="0.3">
      <c r="A4" s="9"/>
      <c r="B4" s="10"/>
      <c r="C4" s="11"/>
      <c r="D4" s="28" t="s">
        <v>29</v>
      </c>
      <c r="E4" s="23"/>
      <c r="F4" s="12" t="s">
        <v>14</v>
      </c>
      <c r="G4" s="12" t="s">
        <v>12</v>
      </c>
      <c r="H4" s="12" t="s">
        <v>11</v>
      </c>
      <c r="I4" s="12" t="s">
        <v>15</v>
      </c>
      <c r="J4" s="12" t="s">
        <v>6</v>
      </c>
      <c r="K4" s="12" t="s">
        <v>27</v>
      </c>
      <c r="L4" s="12" t="s">
        <v>28</v>
      </c>
      <c r="M4" s="12" t="s">
        <v>16</v>
      </c>
      <c r="N4" s="12" t="s">
        <v>10</v>
      </c>
      <c r="O4" s="12" t="s">
        <v>10</v>
      </c>
      <c r="P4" s="12" t="s">
        <v>11</v>
      </c>
      <c r="Q4" s="12" t="s">
        <v>30</v>
      </c>
      <c r="R4" s="12" t="s">
        <v>31</v>
      </c>
      <c r="S4" s="12" t="s">
        <v>32</v>
      </c>
      <c r="T4" s="12" t="s">
        <v>32</v>
      </c>
      <c r="U4" s="12" t="s">
        <v>32</v>
      </c>
      <c r="V4" s="12" t="s">
        <v>34</v>
      </c>
      <c r="W4" s="12" t="s">
        <v>35</v>
      </c>
      <c r="X4" s="12" t="s">
        <v>38</v>
      </c>
      <c r="Y4" s="12" t="s">
        <v>40</v>
      </c>
      <c r="Z4" s="12" t="s">
        <v>13</v>
      </c>
      <c r="AA4" s="12" t="s">
        <v>20</v>
      </c>
      <c r="AB4" s="12" t="s">
        <v>44</v>
      </c>
      <c r="AC4" s="12" t="s">
        <v>45</v>
      </c>
      <c r="AD4" s="12" t="s">
        <v>47</v>
      </c>
      <c r="AE4" s="12" t="s">
        <v>48</v>
      </c>
      <c r="AF4" s="9"/>
    </row>
    <row r="5" spans="1:32" ht="13.5" customHeight="1" x14ac:dyDescent="0.3">
      <c r="A5" s="9"/>
      <c r="B5" s="10"/>
      <c r="C5" s="11"/>
      <c r="D5" s="28" t="s">
        <v>33</v>
      </c>
      <c r="E5" s="23"/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7</v>
      </c>
      <c r="L5" s="12" t="s">
        <v>7</v>
      </c>
      <c r="M5" s="12" t="s">
        <v>7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7</v>
      </c>
      <c r="S5" s="12" t="s">
        <v>3</v>
      </c>
      <c r="T5" s="12" t="s">
        <v>3</v>
      </c>
      <c r="U5" s="12" t="s">
        <v>3</v>
      </c>
      <c r="V5" s="12" t="s">
        <v>7</v>
      </c>
      <c r="W5" s="12" t="s">
        <v>3</v>
      </c>
      <c r="X5" s="12" t="s">
        <v>3</v>
      </c>
      <c r="Y5" s="12" t="s">
        <v>3</v>
      </c>
      <c r="Z5" s="12" t="s">
        <v>4</v>
      </c>
      <c r="AA5" s="12" t="s">
        <v>7</v>
      </c>
      <c r="AB5" s="12" t="s">
        <v>3</v>
      </c>
      <c r="AC5" s="12" t="s">
        <v>3</v>
      </c>
      <c r="AD5" s="12" t="s">
        <v>4</v>
      </c>
      <c r="AE5" s="12" t="s">
        <v>7</v>
      </c>
      <c r="AF5" s="9"/>
    </row>
    <row r="6" spans="1:32" ht="13.5" customHeight="1" x14ac:dyDescent="0.3">
      <c r="A6" s="13" t="s">
        <v>36</v>
      </c>
      <c r="B6" s="14" t="s">
        <v>39</v>
      </c>
      <c r="C6" s="15" t="s">
        <v>41</v>
      </c>
      <c r="D6" s="14" t="s">
        <v>0</v>
      </c>
      <c r="E6" s="14" t="s">
        <v>42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43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4" t="s">
        <v>49</v>
      </c>
    </row>
    <row r="7" spans="1:32" ht="13.5" customHeight="1" x14ac:dyDescent="0.3">
      <c r="A7" s="17">
        <v>1</v>
      </c>
      <c r="B7" s="14"/>
      <c r="C7" s="15"/>
      <c r="D7" s="14" t="s">
        <v>22</v>
      </c>
      <c r="E7" s="14">
        <v>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">
        <f t="shared" ref="AF7:AF43" si="0">SUM(F7:AE7)</f>
        <v>0</v>
      </c>
    </row>
    <row r="8" spans="1:32" ht="13.5" customHeight="1" x14ac:dyDescent="0.3">
      <c r="A8" s="17">
        <v>2</v>
      </c>
      <c r="B8" s="14"/>
      <c r="C8" s="15"/>
      <c r="D8" s="14" t="s">
        <v>22</v>
      </c>
      <c r="E8" s="14">
        <v>5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>
        <f t="shared" si="0"/>
        <v>0</v>
      </c>
    </row>
    <row r="9" spans="1:32" ht="13.5" customHeight="1" x14ac:dyDescent="0.3">
      <c r="A9" s="17">
        <v>3</v>
      </c>
      <c r="B9" s="14"/>
      <c r="C9" s="15"/>
      <c r="D9" s="14" t="s">
        <v>22</v>
      </c>
      <c r="E9" s="14">
        <v>5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">
        <f t="shared" si="0"/>
        <v>0</v>
      </c>
    </row>
    <row r="10" spans="1:32" ht="13.5" customHeight="1" x14ac:dyDescent="0.3">
      <c r="A10" s="17">
        <v>4</v>
      </c>
      <c r="B10" s="14"/>
      <c r="C10" s="15"/>
      <c r="D10" s="14" t="s">
        <v>22</v>
      </c>
      <c r="E10" s="14">
        <v>5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">
        <f t="shared" si="0"/>
        <v>0</v>
      </c>
    </row>
    <row r="11" spans="1:32" ht="13.5" customHeight="1" x14ac:dyDescent="0.3">
      <c r="A11" s="17">
        <v>5</v>
      </c>
      <c r="B11" s="14"/>
      <c r="C11" s="15"/>
      <c r="D11" s="14" t="s">
        <v>22</v>
      </c>
      <c r="E11" s="14">
        <v>5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">
        <f t="shared" si="0"/>
        <v>0</v>
      </c>
    </row>
    <row r="12" spans="1:32" ht="13.5" customHeight="1" x14ac:dyDescent="0.3">
      <c r="A12" s="17">
        <v>6</v>
      </c>
      <c r="B12" s="14"/>
      <c r="C12" s="15"/>
      <c r="D12" s="14" t="s">
        <v>22</v>
      </c>
      <c r="E12" s="14">
        <v>5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>
        <f t="shared" si="0"/>
        <v>0</v>
      </c>
    </row>
    <row r="13" spans="1:32" ht="13.5" customHeight="1" x14ac:dyDescent="0.3">
      <c r="A13" s="17">
        <v>7</v>
      </c>
      <c r="B13" s="14"/>
      <c r="C13" s="15"/>
      <c r="D13" s="14" t="s">
        <v>22</v>
      </c>
      <c r="E13" s="14">
        <v>5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">
        <f t="shared" si="0"/>
        <v>0</v>
      </c>
    </row>
    <row r="14" spans="1:32" ht="13.5" customHeight="1" x14ac:dyDescent="0.3">
      <c r="A14" s="17">
        <v>8</v>
      </c>
      <c r="B14" s="14"/>
      <c r="C14" s="15"/>
      <c r="D14" s="14" t="s">
        <v>22</v>
      </c>
      <c r="E14" s="14">
        <v>5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">
        <f t="shared" si="0"/>
        <v>0</v>
      </c>
    </row>
    <row r="15" spans="1:32" ht="13.5" customHeight="1" x14ac:dyDescent="0.3">
      <c r="A15" s="17">
        <v>9</v>
      </c>
      <c r="B15" s="14"/>
      <c r="C15" s="15"/>
      <c r="D15" s="14" t="s">
        <v>22</v>
      </c>
      <c r="E15" s="14">
        <v>5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">
        <f t="shared" si="0"/>
        <v>0</v>
      </c>
    </row>
    <row r="16" spans="1:32" ht="13.5" customHeight="1" x14ac:dyDescent="0.3">
      <c r="A16" s="17">
        <v>10</v>
      </c>
      <c r="B16" s="14"/>
      <c r="C16" s="15"/>
      <c r="D16" s="14" t="s">
        <v>22</v>
      </c>
      <c r="E16" s="14">
        <v>5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>
        <f t="shared" si="0"/>
        <v>0</v>
      </c>
    </row>
    <row r="17" spans="1:32" ht="13.5" customHeight="1" x14ac:dyDescent="0.3">
      <c r="A17" s="17">
        <v>11</v>
      </c>
      <c r="B17" s="14"/>
      <c r="C17" s="15"/>
      <c r="D17" s="14" t="s">
        <v>22</v>
      </c>
      <c r="E17" s="14">
        <v>5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">
        <f t="shared" si="0"/>
        <v>0</v>
      </c>
    </row>
    <row r="18" spans="1:32" ht="13.5" customHeight="1" x14ac:dyDescent="0.3">
      <c r="A18" s="17">
        <v>12</v>
      </c>
      <c r="B18" s="14"/>
      <c r="C18" s="15"/>
      <c r="D18" s="14" t="s">
        <v>22</v>
      </c>
      <c r="E18" s="14">
        <v>5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">
        <f t="shared" si="0"/>
        <v>0</v>
      </c>
    </row>
    <row r="19" spans="1:32" ht="13.5" customHeight="1" x14ac:dyDescent="0.3">
      <c r="A19" s="17">
        <v>13</v>
      </c>
      <c r="B19" s="14"/>
      <c r="C19" s="15"/>
      <c r="D19" s="14" t="s">
        <v>22</v>
      </c>
      <c r="E19" s="14">
        <v>5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">
        <f t="shared" si="0"/>
        <v>0</v>
      </c>
    </row>
    <row r="20" spans="1:32" ht="13.5" customHeight="1" x14ac:dyDescent="0.3">
      <c r="A20" s="17">
        <v>14</v>
      </c>
      <c r="B20" s="14"/>
      <c r="C20" s="15"/>
      <c r="D20" s="14" t="s">
        <v>22</v>
      </c>
      <c r="E20" s="14">
        <v>5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">
        <f t="shared" si="0"/>
        <v>0</v>
      </c>
    </row>
    <row r="21" spans="1:32" ht="13.5" customHeight="1" x14ac:dyDescent="0.3">
      <c r="A21" s="17">
        <v>15</v>
      </c>
      <c r="B21" s="14"/>
      <c r="C21" s="15"/>
      <c r="D21" s="14" t="s">
        <v>22</v>
      </c>
      <c r="E21" s="14">
        <v>5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">
        <f t="shared" si="0"/>
        <v>0</v>
      </c>
    </row>
    <row r="22" spans="1:32" ht="13.5" customHeight="1" x14ac:dyDescent="0.3">
      <c r="A22" s="17">
        <v>16</v>
      </c>
      <c r="B22" s="14"/>
      <c r="C22" s="15"/>
      <c r="D22" s="14" t="s">
        <v>22</v>
      </c>
      <c r="E22" s="14">
        <v>5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">
        <f t="shared" si="0"/>
        <v>0</v>
      </c>
    </row>
    <row r="23" spans="1:32" ht="13.5" customHeight="1" x14ac:dyDescent="0.3">
      <c r="A23" s="17">
        <v>17</v>
      </c>
      <c r="B23" s="14"/>
      <c r="C23" s="15"/>
      <c r="D23" s="14" t="s">
        <v>22</v>
      </c>
      <c r="E23" s="14">
        <v>5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">
        <f t="shared" si="0"/>
        <v>0</v>
      </c>
    </row>
    <row r="24" spans="1:32" ht="13.5" customHeight="1" x14ac:dyDescent="0.3">
      <c r="A24" s="17">
        <v>18</v>
      </c>
      <c r="B24" s="14"/>
      <c r="C24" s="15"/>
      <c r="D24" s="14" t="s">
        <v>22</v>
      </c>
      <c r="E24" s="14">
        <v>5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">
        <f t="shared" si="0"/>
        <v>0</v>
      </c>
    </row>
    <row r="25" spans="1:32" ht="13.5" customHeight="1" x14ac:dyDescent="0.3">
      <c r="A25" s="17">
        <v>19</v>
      </c>
      <c r="B25" s="14"/>
      <c r="C25" s="15"/>
      <c r="D25" s="14" t="s">
        <v>22</v>
      </c>
      <c r="E25" s="14">
        <v>5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">
        <f t="shared" si="0"/>
        <v>0</v>
      </c>
    </row>
    <row r="26" spans="1:32" ht="13.5" customHeight="1" x14ac:dyDescent="0.3">
      <c r="A26" s="17">
        <v>20</v>
      </c>
      <c r="B26" s="14"/>
      <c r="C26" s="15"/>
      <c r="D26" s="14" t="s">
        <v>22</v>
      </c>
      <c r="E26" s="14">
        <v>5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">
        <f t="shared" si="0"/>
        <v>0</v>
      </c>
    </row>
    <row r="27" spans="1:32" ht="13.5" customHeight="1" x14ac:dyDescent="0.3">
      <c r="A27" s="17">
        <v>21</v>
      </c>
      <c r="B27" s="14"/>
      <c r="C27" s="15"/>
      <c r="D27" s="14" t="s">
        <v>22</v>
      </c>
      <c r="E27" s="14">
        <v>5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">
        <f t="shared" si="0"/>
        <v>0</v>
      </c>
    </row>
    <row r="28" spans="1:32" ht="13.5" customHeight="1" x14ac:dyDescent="0.3">
      <c r="A28" s="17">
        <v>22</v>
      </c>
      <c r="B28" s="14"/>
      <c r="C28" s="15"/>
      <c r="D28" s="14" t="s">
        <v>22</v>
      </c>
      <c r="E28" s="14">
        <v>5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">
        <f t="shared" si="0"/>
        <v>0</v>
      </c>
    </row>
    <row r="29" spans="1:32" ht="13.5" customHeight="1" x14ac:dyDescent="0.3">
      <c r="A29" s="17">
        <v>23</v>
      </c>
      <c r="B29" s="14"/>
      <c r="C29" s="15"/>
      <c r="D29" s="14" t="s">
        <v>22</v>
      </c>
      <c r="E29" s="14">
        <v>5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">
        <f t="shared" si="0"/>
        <v>0</v>
      </c>
    </row>
    <row r="30" spans="1:32" ht="13.5" customHeight="1" x14ac:dyDescent="0.3">
      <c r="A30" s="17">
        <v>24</v>
      </c>
      <c r="B30" s="14"/>
      <c r="C30" s="15"/>
      <c r="D30" s="14" t="s">
        <v>22</v>
      </c>
      <c r="E30" s="14">
        <v>5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">
        <f t="shared" si="0"/>
        <v>0</v>
      </c>
    </row>
    <row r="31" spans="1:32" ht="13.5" customHeight="1" x14ac:dyDescent="0.3">
      <c r="A31" s="17">
        <v>25</v>
      </c>
      <c r="B31" s="14"/>
      <c r="C31" s="15"/>
      <c r="D31" s="14" t="s">
        <v>22</v>
      </c>
      <c r="E31" s="14">
        <v>5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">
        <f t="shared" si="0"/>
        <v>0</v>
      </c>
    </row>
    <row r="32" spans="1:32" ht="13.5" customHeight="1" x14ac:dyDescent="0.3">
      <c r="A32" s="17">
        <v>26</v>
      </c>
      <c r="B32" s="14"/>
      <c r="C32" s="15"/>
      <c r="D32" s="14" t="s">
        <v>22</v>
      </c>
      <c r="E32" s="14">
        <v>5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">
        <f t="shared" si="0"/>
        <v>0</v>
      </c>
    </row>
    <row r="33" spans="1:32" ht="13.5" customHeight="1" x14ac:dyDescent="0.3">
      <c r="A33" s="17">
        <v>27</v>
      </c>
      <c r="B33" s="14"/>
      <c r="C33" s="15"/>
      <c r="D33" s="14" t="s">
        <v>22</v>
      </c>
      <c r="E33" s="14">
        <v>5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">
        <f t="shared" si="0"/>
        <v>0</v>
      </c>
    </row>
    <row r="34" spans="1:32" ht="13.5" customHeight="1" x14ac:dyDescent="0.3">
      <c r="A34" s="17">
        <v>28</v>
      </c>
      <c r="B34" s="14"/>
      <c r="C34" s="15"/>
      <c r="D34" s="14" t="s">
        <v>22</v>
      </c>
      <c r="E34" s="14">
        <v>5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">
        <f t="shared" si="0"/>
        <v>0</v>
      </c>
    </row>
    <row r="35" spans="1:32" ht="13.5" customHeight="1" x14ac:dyDescent="0.3">
      <c r="A35" s="17">
        <v>29</v>
      </c>
      <c r="B35" s="14"/>
      <c r="C35" s="15"/>
      <c r="D35" s="14" t="s">
        <v>22</v>
      </c>
      <c r="E35" s="14">
        <v>5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">
        <f t="shared" si="0"/>
        <v>0</v>
      </c>
    </row>
    <row r="36" spans="1:32" ht="13.5" customHeight="1" x14ac:dyDescent="0.3">
      <c r="A36" s="17">
        <v>30</v>
      </c>
      <c r="B36" s="14"/>
      <c r="C36" s="15"/>
      <c r="D36" s="14" t="s">
        <v>22</v>
      </c>
      <c r="E36" s="14">
        <v>5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">
        <f t="shared" si="0"/>
        <v>0</v>
      </c>
    </row>
    <row r="37" spans="1:32" ht="13.5" customHeight="1" x14ac:dyDescent="0.3">
      <c r="A37" s="17">
        <v>31</v>
      </c>
      <c r="B37" s="14"/>
      <c r="C37" s="15"/>
      <c r="D37" s="14" t="s">
        <v>22</v>
      </c>
      <c r="E37" s="14">
        <v>5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">
        <f t="shared" si="0"/>
        <v>0</v>
      </c>
    </row>
    <row r="38" spans="1:32" ht="13.5" customHeight="1" x14ac:dyDescent="0.3">
      <c r="A38" s="17">
        <v>32</v>
      </c>
      <c r="B38" s="14"/>
      <c r="C38" s="15"/>
      <c r="D38" s="14" t="s">
        <v>22</v>
      </c>
      <c r="E38" s="14">
        <v>5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">
        <f t="shared" si="0"/>
        <v>0</v>
      </c>
    </row>
    <row r="39" spans="1:32" ht="13.5" customHeight="1" x14ac:dyDescent="0.3">
      <c r="A39" s="17">
        <v>33</v>
      </c>
      <c r="B39" s="14"/>
      <c r="C39" s="15"/>
      <c r="D39" s="14" t="s">
        <v>22</v>
      </c>
      <c r="E39" s="14">
        <v>5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>
        <f t="shared" si="0"/>
        <v>0</v>
      </c>
    </row>
    <row r="40" spans="1:32" ht="13.5" customHeight="1" x14ac:dyDescent="0.3">
      <c r="A40" s="17">
        <v>34</v>
      </c>
      <c r="B40" s="14"/>
      <c r="C40" s="15"/>
      <c r="D40" s="14" t="s">
        <v>22</v>
      </c>
      <c r="E40" s="14">
        <v>5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">
        <f t="shared" si="0"/>
        <v>0</v>
      </c>
    </row>
    <row r="41" spans="1:32" ht="13.5" customHeight="1" x14ac:dyDescent="0.3">
      <c r="A41" s="17">
        <v>35</v>
      </c>
      <c r="B41" s="14"/>
      <c r="C41" s="15"/>
      <c r="D41" s="14" t="s">
        <v>22</v>
      </c>
      <c r="E41" s="14">
        <v>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">
        <f t="shared" si="0"/>
        <v>0</v>
      </c>
    </row>
    <row r="42" spans="1:32" ht="13.5" customHeight="1" x14ac:dyDescent="0.3">
      <c r="A42" s="17">
        <v>36</v>
      </c>
      <c r="B42" s="14"/>
      <c r="C42" s="15"/>
      <c r="D42" s="14" t="s">
        <v>22</v>
      </c>
      <c r="E42" s="14">
        <v>5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">
        <f t="shared" si="0"/>
        <v>0</v>
      </c>
    </row>
    <row r="43" spans="1:32" ht="13.5" customHeight="1" x14ac:dyDescent="0.3">
      <c r="A43" s="17">
        <v>37</v>
      </c>
      <c r="B43" s="14"/>
      <c r="C43" s="15"/>
      <c r="D43" s="14" t="s">
        <v>22</v>
      </c>
      <c r="E43" s="14">
        <v>5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>
        <f t="shared" si="0"/>
        <v>0</v>
      </c>
    </row>
    <row r="44" spans="1:32" ht="14" x14ac:dyDescent="0.3">
      <c r="C44" s="34" t="s">
        <v>80</v>
      </c>
      <c r="D44" s="34"/>
      <c r="E44" s="34"/>
      <c r="F44" s="36">
        <f>IFERROR(AVERAGE(F$7:F$43),0)</f>
        <v>0</v>
      </c>
      <c r="G44" s="36">
        <f t="shared" ref="G44:AE44" si="1">IFERROR(AVERAGE(G$7:G$43),0)</f>
        <v>0</v>
      </c>
      <c r="H44" s="36">
        <f t="shared" si="1"/>
        <v>0</v>
      </c>
      <c r="I44" s="36">
        <f t="shared" si="1"/>
        <v>0</v>
      </c>
      <c r="J44" s="36">
        <f t="shared" si="1"/>
        <v>0</v>
      </c>
      <c r="K44" s="36">
        <f t="shared" si="1"/>
        <v>0</v>
      </c>
      <c r="L44" s="36">
        <f t="shared" si="1"/>
        <v>0</v>
      </c>
      <c r="M44" s="36">
        <f t="shared" si="1"/>
        <v>0</v>
      </c>
      <c r="N44" s="36">
        <f t="shared" si="1"/>
        <v>0</v>
      </c>
      <c r="O44" s="36">
        <f t="shared" si="1"/>
        <v>0</v>
      </c>
      <c r="P44" s="36">
        <f t="shared" si="1"/>
        <v>0</v>
      </c>
      <c r="Q44" s="36">
        <f t="shared" si="1"/>
        <v>0</v>
      </c>
      <c r="R44" s="36">
        <f t="shared" si="1"/>
        <v>0</v>
      </c>
      <c r="S44" s="36">
        <f t="shared" si="1"/>
        <v>0</v>
      </c>
      <c r="T44" s="36">
        <f t="shared" si="1"/>
        <v>0</v>
      </c>
      <c r="U44" s="36">
        <f t="shared" si="1"/>
        <v>0</v>
      </c>
      <c r="V44" s="36">
        <f t="shared" si="1"/>
        <v>0</v>
      </c>
      <c r="W44" s="36">
        <f t="shared" si="1"/>
        <v>0</v>
      </c>
      <c r="X44" s="36">
        <f t="shared" si="1"/>
        <v>0</v>
      </c>
      <c r="Y44" s="36">
        <f t="shared" si="1"/>
        <v>0</v>
      </c>
      <c r="Z44" s="36">
        <f t="shared" si="1"/>
        <v>0</v>
      </c>
      <c r="AA44" s="36">
        <f t="shared" si="1"/>
        <v>0</v>
      </c>
      <c r="AB44" s="36">
        <f t="shared" si="1"/>
        <v>0</v>
      </c>
      <c r="AC44" s="36">
        <f t="shared" si="1"/>
        <v>0</v>
      </c>
      <c r="AD44" s="36">
        <f t="shared" si="1"/>
        <v>0</v>
      </c>
      <c r="AE44" s="36">
        <f t="shared" si="1"/>
        <v>0</v>
      </c>
    </row>
    <row r="45" spans="1:32" ht="13.5" customHeight="1" x14ac:dyDescent="0.3"/>
    <row r="46" spans="1:32" ht="13.5" customHeight="1" x14ac:dyDescent="0.3"/>
    <row r="47" spans="1:32" ht="13.5" customHeight="1" x14ac:dyDescent="0.3"/>
    <row r="48" spans="1:3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2">
    <mergeCell ref="C44:E44"/>
    <mergeCell ref="G1:J1"/>
    <mergeCell ref="N1:Q1"/>
    <mergeCell ref="S1:V1"/>
    <mergeCell ref="G2:J2"/>
    <mergeCell ref="N2:Q2"/>
    <mergeCell ref="S2:V2"/>
    <mergeCell ref="D2:E2"/>
    <mergeCell ref="D3:E3"/>
    <mergeCell ref="D4:E4"/>
    <mergeCell ref="D5:E5"/>
    <mergeCell ref="D1:E1"/>
  </mergeCells>
  <conditionalFormatting sqref="F7:AE43">
    <cfRule type="containsBlanks" dxfId="40" priority="1">
      <formula>LEN(TRIM(F7))=0</formula>
    </cfRule>
  </conditionalFormatting>
  <conditionalFormatting sqref="AF7:AF43">
    <cfRule type="cellIs" dxfId="3" priority="2" operator="between">
      <formula>86</formula>
      <formula>100</formula>
    </cfRule>
  </conditionalFormatting>
  <conditionalFormatting sqref="AF7:AF43">
    <cfRule type="cellIs" dxfId="2" priority="3" operator="between">
      <formula>70</formula>
      <formula>85</formula>
    </cfRule>
  </conditionalFormatting>
  <conditionalFormatting sqref="AF7:AF43">
    <cfRule type="cellIs" dxfId="1" priority="4" operator="between">
      <formula>55</formula>
      <formula>69</formula>
    </cfRule>
  </conditionalFormatting>
  <conditionalFormatting sqref="AF7:AF43">
    <cfRule type="cellIs" dxfId="0" priority="5" operator="between">
      <formula>0</formula>
      <formula>54</formula>
    </cfRule>
  </conditionalFormatting>
  <dataValidations count="6">
    <dataValidation type="list" allowBlank="1" showInputMessage="1" showErrorMessage="1" prompt="ניקוד מותר: 3 / 2 / 0" sqref="Z7:Z43" xr:uid="{00000000-0002-0000-1A00-000000000000}">
      <formula1>"3,2,0"</formula1>
    </dataValidation>
    <dataValidation type="list" allowBlank="1" showInputMessage="1" showErrorMessage="1" prompt="ניקוד מותר: 6 / 3 / 0" sqref="K7:K43 Y7:Y43 AB7:AB43" xr:uid="{00000000-0002-0000-1A00-000001000000}">
      <formula1>"6,3,0"</formula1>
    </dataValidation>
    <dataValidation type="list" allowBlank="1" showInputMessage="1" showErrorMessage="1" prompt="ניקוד מותר: 3 / 0" sqref="R7:R43 X7:X43" xr:uid="{00000000-0002-0000-1A00-000002000000}">
      <formula1>"3,0"</formula1>
    </dataValidation>
    <dataValidation type="list" allowBlank="1" showInputMessage="1" showErrorMessage="1" prompt="ניקוד מותר: 4 / 0" sqref="F7:J43 L7:Q43 W7:W43 AA7:AA43 AC7:AD43" xr:uid="{00000000-0002-0000-1A00-000003000000}">
      <formula1>"4,0"</formula1>
    </dataValidation>
    <dataValidation type="list" allowBlank="1" showInputMessage="1" showErrorMessage="1" prompt="ניקוד מותר: 2 / 0" sqref="S7:V43" xr:uid="{00000000-0002-0000-1A00-000004000000}">
      <formula1>"2,0"</formula1>
    </dataValidation>
    <dataValidation type="list" allowBlank="1" showInputMessage="1" showErrorMessage="1" prompt="ניקוד מותר: 5 / 0" sqref="AE7:AE43" xr:uid="{00000000-0002-0000-1A00-000005000000}">
      <formula1>"5,0"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A1:V1000"/>
  <sheetViews>
    <sheetView rightToLeft="1" workbookViewId="0">
      <selection sqref="A1:V1"/>
    </sheetView>
  </sheetViews>
  <sheetFormatPr defaultColWidth="12.58203125" defaultRowHeight="15" customHeight="1" x14ac:dyDescent="0.3"/>
  <cols>
    <col min="1" max="26" width="8.58203125" customWidth="1"/>
  </cols>
  <sheetData>
    <row r="1" spans="1:22" ht="13.5" customHeight="1" x14ac:dyDescent="0.3">
      <c r="A1" s="25" t="s">
        <v>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3.5" customHeight="1" x14ac:dyDescent="0.3">
      <c r="A2" s="25" t="s">
        <v>50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13.5" customHeight="1" x14ac:dyDescent="0.3"/>
    <row r="4" spans="1:22" ht="13.5" customHeight="1" x14ac:dyDescent="0.3">
      <c r="A4" s="25" t="s">
        <v>51</v>
      </c>
      <c r="B4" s="23"/>
      <c r="C4" s="23"/>
      <c r="D4" s="25" t="s">
        <v>52</v>
      </c>
      <c r="E4" s="23"/>
      <c r="F4" s="23"/>
      <c r="G4" s="25" t="s">
        <v>53</v>
      </c>
      <c r="H4" s="23"/>
      <c r="I4" s="23"/>
      <c r="J4" s="25" t="s">
        <v>54</v>
      </c>
      <c r="K4" s="23"/>
      <c r="L4" s="23"/>
      <c r="M4" s="25" t="s">
        <v>55</v>
      </c>
      <c r="N4" s="23"/>
      <c r="O4" s="23"/>
      <c r="P4" s="23"/>
      <c r="Q4" s="25" t="s">
        <v>56</v>
      </c>
      <c r="R4" s="23"/>
      <c r="S4" s="23"/>
      <c r="T4" s="23"/>
      <c r="U4" s="23"/>
      <c r="V4" s="23"/>
    </row>
    <row r="5" spans="1:22" ht="13.5" customHeight="1" x14ac:dyDescent="0.3">
      <c r="A5" s="26">
        <f t="array" ref="A5">IFERROR((SUMPRODUCT('כיתה ו1'!$AF$7:$AF$43,--('כיתה ו1'!$C$7:$C$43&lt;&gt;""),--(MMULT(--('כיתה ו1'!$F$7:$AE$43&lt;&gt;""),TRANSPOSE(COLUMN('כיתה ו1'!$F$7:$AE$7)^0))&gt;0))+SUMPRODUCT('כיתה ו2'!$AF$7:$AF$43,--('כיתה ו2'!$C$7:$C$43&lt;&gt;""),--(MMULT(--('כיתה ו2'!$F$7:$AE$43&lt;&gt;""),TRANSPOSE(COLUMN('כיתה ו2'!$F$7:$AE$7)^0))&gt;0))+SUMPRODUCT('כיתה ו3'!$AF$7:$AF$43,--('כיתה ו3'!$C$7:$C$43&lt;&gt;""),--(MMULT(--('כיתה ו3'!$F$7:$AE$43&lt;&gt;""),TRANSPOSE(COLUMN('כיתה ו3'!$F$7:$AE$7)^0))&gt;0))+SUMPRODUCT('כיתה ו4'!$AF$7:$AF$43,--('כיתה ו4'!$C$7:$C$43&lt;&gt;""),--(MMULT(--('כיתה ו4'!$F$7:$AE$43&lt;&gt;""),TRANSPOSE(COLUMN('כיתה ו4'!$F$7:$AE$7)^0))&gt;0))+SUMPRODUCT('כיתה ו5'!$AF$7:$AF$43,--('כיתה ו5'!$C$7:$C$43&lt;&gt;""),--(MMULT(--('כיתה ו5'!$F$7:$AE$43&lt;&gt;""),TRANSPOSE(COLUMN('כיתה ו5'!$F$7:$AE$7)^0))&gt;0)))/((COUNTA('כיתה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ו5'!$F$7:$AE$7)^0))=0)))),0)</f>
        <v>0</v>
      </c>
      <c r="B5" s="23"/>
      <c r="C5" s="23"/>
      <c r="D5" s="24">
        <f>(COUNTA('כיתה ו1'!$C$7:$C$43)+COUNTA('כיתה ו2'!$C$7:$C$43)+COUNTA('כיתה ו3'!$C$7:$C$43)+COUNTA('כיתה ו4'!$C$7:$C$43)+COUNTA('כיתה ו5'!$C$7:$C$43))</f>
        <v>0</v>
      </c>
      <c r="E5" s="23"/>
      <c r="F5" s="23"/>
      <c r="G5" s="24">
        <f t="array" ref="G5">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</f>
        <v>0</v>
      </c>
      <c r="H5" s="23"/>
      <c r="I5" s="23"/>
      <c r="J5" s="24">
        <f t="array" ref="J5">(SUMPRODUCT(--('כיתה ו1'!$C$7:$C$43&lt;&gt;""),--(MMULT(--('כיתה ו1'!$F$7:$AE$43&lt;&gt;""),TRANSPOSE(COLUMN('כיתה ו1'!$F$7:$AE$7)^0))=0))+SUMPRODUCT(--('כיתה ו2'!$C$7:$C$43&lt;&gt;""),--(MMULT(--('כיתה ו2'!$F$7:$AE$43&lt;&gt;""),TRANSPOSE(COLUMN('כיתה ו2'!$F$7:$AE$7)^0))=0))+SUMPRODUCT(--('כיתה ו3'!$C$7:$C$43&lt;&gt;""),--(MMULT(--('כיתה ו3'!$F$7:$AE$43&lt;&gt;""),TRANSPOSE(COLUMN('כיתה ו3'!$F$7:$AE$7)^0))=0))+SUMPRODUCT(--('כיתה ו4'!$C$7:$C$43&lt;&gt;""),--(MMULT(--('כיתה ו4'!$F$7:$AE$43&lt;&gt;""),TRANSPOSE(COLUMN('כיתה ו4'!$F$7:$AE$7)^0))=0))+SUMPRODUCT(--('כיתה ו5'!$C$7:$C$43&lt;&gt;""),--(MMULT(--('כיתה ו5'!$F$7:$AE$43&lt;&gt;""),TRANSPOSE(COLUMN('כיתה ו5'!$F$7:$AE$7)^0))=0)))</f>
        <v>0</v>
      </c>
      <c r="K5" s="23"/>
      <c r="L5" s="23"/>
      <c r="M5" s="22">
        <f t="array" ref="M5">IFERROR(((COUNTA('כיתה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ו5'!$F$7:$AE$7)^0))=0))))/(COUNTA('כיתה ו1'!$C$7:$C$43)+COUNTA('כיתה ו2'!$C$7:$C$43)+COUNTA('כיתה ו3'!$C$7:$C$43)+COUNTA('כיתה ו4'!$C$7:$C$43)+COUNTA('כיתה ו5'!$C$7:$C$43)),0)</f>
        <v>0</v>
      </c>
      <c r="N5" s="23"/>
      <c r="O5" s="23"/>
      <c r="P5" s="23"/>
      <c r="Q5" s="24">
        <f>5</f>
        <v>5</v>
      </c>
      <c r="R5" s="23"/>
      <c r="S5" s="23"/>
      <c r="T5" s="23"/>
      <c r="U5" s="23"/>
      <c r="V5" s="23"/>
    </row>
    <row r="6" spans="1:22" ht="13.5" customHeight="1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ht="13.5" customHeight="1" x14ac:dyDescent="0.3"/>
    <row r="8" spans="1:22" ht="13.5" customHeight="1" x14ac:dyDescent="0.3">
      <c r="A8" s="21" t="s">
        <v>42</v>
      </c>
      <c r="B8" s="21" t="s">
        <v>57</v>
      </c>
      <c r="C8" s="21" t="s">
        <v>58</v>
      </c>
      <c r="D8" s="21" t="s">
        <v>59</v>
      </c>
      <c r="E8" s="21" t="s">
        <v>60</v>
      </c>
      <c r="F8" s="21" t="s">
        <v>61</v>
      </c>
      <c r="G8" s="21" t="s">
        <v>62</v>
      </c>
    </row>
    <row r="9" spans="1:22" ht="13.5" customHeight="1" x14ac:dyDescent="0.3">
      <c r="A9" s="21" t="s">
        <v>75</v>
      </c>
      <c r="B9" s="21">
        <f t="array" ref="B9">IFERROR(SUMPRODUCT('כיתה ו1'!$AF$7:$AF$43,--('כיתה ו1'!$C$7:$C$43&lt;&gt;""),--(MMULT(--('כיתה ו1'!$F$7:$AE$43&lt;&gt;""),TRANSPOSE(COLUMN('כיתה ו1'!$F$7:$AE$7)^0))&gt;0))/(COUNTA('כיתה ו1'!$C$7:$C$43)-SUMPRODUCT(--('כיתה ו1'!$C$7:$C$43&lt;&gt;""),--(MMULT(--('כיתה ו1'!$F$7:$AE$43&lt;&gt;""),TRANSPOSE(COLUMN('כיתה ו1'!$F$7:$AE$7)^0))=0))),0)</f>
        <v>0</v>
      </c>
      <c r="C9" s="21">
        <f t="array" ref="C9">SUMPRODUCT(--('כיתה ו1'!$C$7:$C$43&lt;&gt;""),--('כיתה ו1'!$AF$7:$AF$43&gt;=86),--('כיתה ו1'!$AF$7:$AF$43&lt;=100),--(MMULT(--('כיתה ו1'!$F$7:$AE$43&lt;&gt;""),TRANSPOSE(COLUMN('כיתה ו1'!$F$7:$AE$7)^0))&gt;0))</f>
        <v>0</v>
      </c>
      <c r="D9" s="21">
        <f t="array" ref="D9">SUMPRODUCT(--('כיתה ו1'!$C$7:$C$43&lt;&gt;""),--('כיתה ו1'!$AF$7:$AF$43&gt;=70),--('כיתה ו1'!$AF$7:$AF$43&lt;=85),--(MMULT(--('כיתה ו1'!$F$7:$AE$43&lt;&gt;""),TRANSPOSE(COLUMN('כיתה ו1'!$F$7:$AE$7)^0))&gt;0))</f>
        <v>0</v>
      </c>
      <c r="E9" s="21">
        <f t="array" ref="E9">SUMPRODUCT(--('כיתה ו1'!$C$7:$C$43&lt;&gt;""),--('כיתה ו1'!$AF$7:$AF$43&gt;=55),--('כיתה ו1'!$AF$7:$AF$43&lt;=69),--(MMULT(--('כיתה ו1'!$F$7:$AE$43&lt;&gt;""),TRANSPOSE(COLUMN('כיתה ו1'!$F$7:$AE$7)^0))&gt;0))</f>
        <v>0</v>
      </c>
      <c r="F9" s="21">
        <f t="array" ref="F9">SUMPRODUCT(--('כיתה ו1'!$C$7:$C$43&lt;&gt;""),--('כיתה ו1'!$AF$7:$AF$43&gt;=0),--('כיתה ו1'!$AF$7:$AF$43&lt;=54),--(MMULT(--('כיתה ו1'!$F$7:$AE$43&lt;&gt;""),TRANSPOSE(COLUMN('כיתה ו1'!$F$7:$AE$7)^0))&gt;0))</f>
        <v>0</v>
      </c>
      <c r="G9" s="21">
        <f t="array" ref="G9">(COUNTA('כיתה ו1'!$C$7:$C$43)-SUMPRODUCT(--('כיתה ו1'!$C$7:$C$43&lt;&gt;""),--(MMULT(--('כיתה ו1'!$F$7:$AE$43&lt;&gt;""),TRANSPOSE(COLUMN('כיתה ו1'!$F$7:$AE$7)^0))=0)))</f>
        <v>0</v>
      </c>
    </row>
    <row r="10" spans="1:22" ht="13.5" customHeight="1" x14ac:dyDescent="0.3">
      <c r="A10" s="21" t="s">
        <v>76</v>
      </c>
      <c r="B10" s="21">
        <f t="array" ref="B10">IFERROR(SUMPRODUCT('כיתה ו2'!$AF$7:$AF$43,--('כיתה ו2'!$C$7:$C$43&lt;&gt;""),--(MMULT(--('כיתה ו2'!$F$7:$AE$43&lt;&gt;""),TRANSPOSE(COLUMN('כיתה ו2'!$F$7:$AE$7)^0))&gt;0))/(COUNTA('כיתה ו2'!$C$7:$C$43)-SUMPRODUCT(--('כיתה ו2'!$C$7:$C$43&lt;&gt;""),--(MMULT(--('כיתה ו2'!$F$7:$AE$43&lt;&gt;""),TRANSPOSE(COLUMN('כיתה ו2'!$F$7:$AE$7)^0))=0))),0)</f>
        <v>0</v>
      </c>
      <c r="C10" s="21">
        <f t="array" ref="C10">SUMPRODUCT(--('כיתה ו2'!$C$7:$C$43&lt;&gt;""),--('כיתה ו2'!$AF$7:$AF$43&gt;=86),--('כיתה ו2'!$AF$7:$AF$43&lt;=100),--(MMULT(--('כיתה ו2'!$F$7:$AE$43&lt;&gt;""),TRANSPOSE(COLUMN('כיתה ו2'!$F$7:$AE$7)^0))&gt;0))</f>
        <v>0</v>
      </c>
      <c r="D10" s="21">
        <f t="array" ref="D10">SUMPRODUCT(--('כיתה ו2'!$C$7:$C$43&lt;&gt;""),--('כיתה ו2'!$AF$7:$AF$43&gt;=70),--('כיתה ו2'!$AF$7:$AF$43&lt;=85),--(MMULT(--('כיתה ו2'!$F$7:$AE$43&lt;&gt;""),TRANSPOSE(COLUMN('כיתה ו2'!$F$7:$AE$7)^0))&gt;0))</f>
        <v>0</v>
      </c>
      <c r="E10" s="21">
        <f t="array" ref="E10">SUMPRODUCT(--('כיתה ו2'!$C$7:$C$43&lt;&gt;""),--('כיתה ו2'!$AF$7:$AF$43&gt;=55),--('כיתה ו2'!$AF$7:$AF$43&lt;=69),--(MMULT(--('כיתה ו2'!$F$7:$AE$43&lt;&gt;""),TRANSPOSE(COLUMN('כיתה ו2'!$F$7:$AE$7)^0))&gt;0))</f>
        <v>0</v>
      </c>
      <c r="F10" s="21">
        <f t="array" ref="F10">SUMPRODUCT(--('כיתה ו2'!$C$7:$C$43&lt;&gt;""),--('כיתה ו2'!$AF$7:$AF$43&gt;=0),--('כיתה ו2'!$AF$7:$AF$43&lt;=54),--(MMULT(--('כיתה ו2'!$F$7:$AE$43&lt;&gt;""),TRANSPOSE(COLUMN('כיתה ו2'!$F$7:$AE$7)^0))&gt;0))</f>
        <v>0</v>
      </c>
      <c r="G10" s="21">
        <f t="array" ref="G10">(COUNTA('כיתה ו2'!$C$7:$C$43)-SUMPRODUCT(--('כיתה ו2'!$C$7:$C$43&lt;&gt;""),--(MMULT(--('כיתה ו2'!$F$7:$AE$43&lt;&gt;""),TRANSPOSE(COLUMN('כיתה ו2'!$F$7:$AE$7)^0))=0)))</f>
        <v>0</v>
      </c>
    </row>
    <row r="11" spans="1:22" ht="13.5" customHeight="1" x14ac:dyDescent="0.3">
      <c r="A11" s="21" t="s">
        <v>77</v>
      </c>
      <c r="B11" s="21">
        <f t="array" ref="B11">IFERROR(SUMPRODUCT('כיתה ו3'!$AF$7:$AF$43,--('כיתה ו3'!$C$7:$C$43&lt;&gt;""),--(MMULT(--('כיתה ו3'!$F$7:$AE$43&lt;&gt;""),TRANSPOSE(COLUMN('כיתה ו3'!$F$7:$AE$7)^0))&gt;0))/(COUNTA('כיתה ו3'!$C$7:$C$43)-SUMPRODUCT(--('כיתה ו3'!$C$7:$C$43&lt;&gt;""),--(MMULT(--('כיתה ו3'!$F$7:$AE$43&lt;&gt;""),TRANSPOSE(COLUMN('כיתה ו3'!$F$7:$AE$7)^0))=0))),0)</f>
        <v>0</v>
      </c>
      <c r="C11" s="21">
        <f t="array" ref="C11">SUMPRODUCT(--('כיתה ו3'!$C$7:$C$43&lt;&gt;""),--('כיתה ו3'!$AF$7:$AF$43&gt;=86),--('כיתה ו3'!$AF$7:$AF$43&lt;=100),--(MMULT(--('כיתה ו3'!$F$7:$AE$43&lt;&gt;""),TRANSPOSE(COLUMN('כיתה ו3'!$F$7:$AE$7)^0))&gt;0))</f>
        <v>0</v>
      </c>
      <c r="D11" s="21">
        <f t="array" ref="D11">SUMPRODUCT(--('כיתה ו3'!$C$7:$C$43&lt;&gt;""),--('כיתה ו3'!$AF$7:$AF$43&gt;=70),--('כיתה ו3'!$AF$7:$AF$43&lt;=85),--(MMULT(--('כיתה ו3'!$F$7:$AE$43&lt;&gt;""),TRANSPOSE(COLUMN('כיתה ו3'!$F$7:$AE$7)^0))&gt;0))</f>
        <v>0</v>
      </c>
      <c r="E11" s="21">
        <f t="array" ref="E11">SUMPRODUCT(--('כיתה ו3'!$C$7:$C$43&lt;&gt;""),--('כיתה ו3'!$AF$7:$AF$43&gt;=55),--('כיתה ו3'!$AF$7:$AF$43&lt;=69),--(MMULT(--('כיתה ו3'!$F$7:$AE$43&lt;&gt;""),TRANSPOSE(COLUMN('כיתה ו3'!$F$7:$AE$7)^0))&gt;0))</f>
        <v>0</v>
      </c>
      <c r="F11" s="21">
        <f t="array" ref="F11">SUMPRODUCT(--('כיתה ו3'!$C$7:$C$43&lt;&gt;""),--('כיתה ו3'!$AF$7:$AF$43&gt;=0),--('כיתה ו3'!$AF$7:$AF$43&lt;=54),--(MMULT(--('כיתה ו3'!$F$7:$AE$43&lt;&gt;""),TRANSPOSE(COLUMN('כיתה ו3'!$F$7:$AE$7)^0))&gt;0))</f>
        <v>0</v>
      </c>
      <c r="G11" s="21">
        <f t="array" ref="G11">(COUNTA('כיתה ו3'!$C$7:$C$43)-SUMPRODUCT(--('כיתה ו3'!$C$7:$C$43&lt;&gt;""),--(MMULT(--('כיתה ו3'!$F$7:$AE$43&lt;&gt;""),TRANSPOSE(COLUMN('כיתה ו3'!$F$7:$AE$7)^0))=0)))</f>
        <v>0</v>
      </c>
    </row>
    <row r="12" spans="1:22" ht="13.5" customHeight="1" x14ac:dyDescent="0.3">
      <c r="A12" s="21" t="s">
        <v>78</v>
      </c>
      <c r="B12" s="21">
        <f t="array" ref="B12">IFERROR(SUMPRODUCT('כיתה ו4'!$AF$7:$AF$43,--('כיתה ו4'!$C$7:$C$43&lt;&gt;""),--(MMULT(--('כיתה ו4'!$F$7:$AE$43&lt;&gt;""),TRANSPOSE(COLUMN('כיתה ו4'!$F$7:$AE$7)^0))&gt;0))/(COUNTA('כיתה ו4'!$C$7:$C$43)-SUMPRODUCT(--('כיתה ו4'!$C$7:$C$43&lt;&gt;""),--(MMULT(--('כיתה ו4'!$F$7:$AE$43&lt;&gt;""),TRANSPOSE(COLUMN('כיתה ו4'!$F$7:$AE$7)^0))=0))),0)</f>
        <v>0</v>
      </c>
      <c r="C12" s="21">
        <f t="array" ref="C12">SUMPRODUCT(--('כיתה ו4'!$C$7:$C$43&lt;&gt;""),--('כיתה ו4'!$AF$7:$AF$43&gt;=86),--('כיתה ו4'!$AF$7:$AF$43&lt;=100),--(MMULT(--('כיתה ו4'!$F$7:$AE$43&lt;&gt;""),TRANSPOSE(COLUMN('כיתה ו4'!$F$7:$AE$7)^0))&gt;0))</f>
        <v>0</v>
      </c>
      <c r="D12" s="21">
        <f t="array" ref="D12">SUMPRODUCT(--('כיתה ו4'!$C$7:$C$43&lt;&gt;""),--('כיתה ו4'!$AF$7:$AF$43&gt;=70),--('כיתה ו4'!$AF$7:$AF$43&lt;=85),--(MMULT(--('כיתה ו4'!$F$7:$AE$43&lt;&gt;""),TRANSPOSE(COLUMN('כיתה ו4'!$F$7:$AE$7)^0))&gt;0))</f>
        <v>0</v>
      </c>
      <c r="E12" s="21">
        <f t="array" ref="E12">SUMPRODUCT(--('כיתה ו4'!$C$7:$C$43&lt;&gt;""),--('כיתה ו4'!$AF$7:$AF$43&gt;=55),--('כיתה ו4'!$AF$7:$AF$43&lt;=69),--(MMULT(--('כיתה ו4'!$F$7:$AE$43&lt;&gt;""),TRANSPOSE(COLUMN('כיתה ו4'!$F$7:$AE$7)^0))&gt;0))</f>
        <v>0</v>
      </c>
      <c r="F12" s="21">
        <f t="array" ref="F12">SUMPRODUCT(--('כיתה ו4'!$C$7:$C$43&lt;&gt;""),--('כיתה ו4'!$AF$7:$AF$43&gt;=0),--('כיתה ו4'!$AF$7:$AF$43&lt;=54),--(MMULT(--('כיתה ו4'!$F$7:$AE$43&lt;&gt;""),TRANSPOSE(COLUMN('כיתה ו4'!$F$7:$AE$7)^0))&gt;0))</f>
        <v>0</v>
      </c>
      <c r="G12" s="21">
        <f t="array" ref="G12">(COUNTA('כיתה ו4'!$C$7:$C$43)-SUMPRODUCT(--('כיתה ו4'!$C$7:$C$43&lt;&gt;""),--(MMULT(--('כיתה ו4'!$F$7:$AE$43&lt;&gt;""),TRANSPOSE(COLUMN('כיתה ו4'!$F$7:$AE$7)^0))=0)))</f>
        <v>0</v>
      </c>
    </row>
    <row r="13" spans="1:22" ht="13.5" customHeight="1" x14ac:dyDescent="0.3">
      <c r="A13" s="21" t="s">
        <v>79</v>
      </c>
      <c r="B13" s="21">
        <f t="array" ref="B13">IFERROR(SUMPRODUCT('כיתה ו5'!$AF$7:$AF$43,--('כיתה ו5'!$C$7:$C$43&lt;&gt;""),--(MMULT(--('כיתה ו5'!$F$7:$AE$43&lt;&gt;""),TRANSPOSE(COLUMN('כיתה ו5'!$F$7:$AE$7)^0))&gt;0))/(COUNTA('כיתה ו5'!$C$7:$C$43)-SUMPRODUCT(--('כיתה ו5'!$C$7:$C$43&lt;&gt;""),--(MMULT(--('כיתה ו5'!$F$7:$AE$43&lt;&gt;""),TRANSPOSE(COLUMN('כיתה ו5'!$F$7:$AE$7)^0))=0))),0)</f>
        <v>0</v>
      </c>
      <c r="C13" s="21">
        <f t="array" ref="C13">SUMPRODUCT(--('כיתה ו5'!$C$7:$C$43&lt;&gt;""),--('כיתה ו5'!$AF$7:$AF$43&gt;=86),--('כיתה ו5'!$AF$7:$AF$43&lt;=100),--(MMULT(--('כיתה ו5'!$F$7:$AE$43&lt;&gt;""),TRANSPOSE(COLUMN('כיתה ו5'!$F$7:$AE$7)^0))&gt;0))</f>
        <v>0</v>
      </c>
      <c r="D13" s="21">
        <f t="array" ref="D13">SUMPRODUCT(--('כיתה ו5'!$C$7:$C$43&lt;&gt;""),--('כיתה ו5'!$AF$7:$AF$43&gt;=70),--('כיתה ו5'!$AF$7:$AF$43&lt;=85),--(MMULT(--('כיתה ו5'!$F$7:$AE$43&lt;&gt;""),TRANSPOSE(COLUMN('כיתה ו5'!$F$7:$AE$7)^0))&gt;0))</f>
        <v>0</v>
      </c>
      <c r="E13" s="21">
        <f t="array" ref="E13">SUMPRODUCT(--('כיתה ו5'!$C$7:$C$43&lt;&gt;""),--('כיתה ו5'!$AF$7:$AF$43&gt;=55),--('כיתה ו5'!$AF$7:$AF$43&lt;=69),--(MMULT(--('כיתה ו5'!$F$7:$AE$43&lt;&gt;""),TRANSPOSE(COLUMN('כיתה ו5'!$F$7:$AE$7)^0))&gt;0))</f>
        <v>0</v>
      </c>
      <c r="F13" s="21">
        <f t="array" ref="F13">SUMPRODUCT(--('כיתה ו5'!$C$7:$C$43&lt;&gt;""),--('כיתה ו5'!$AF$7:$AF$43&gt;=0),--('כיתה ו5'!$AF$7:$AF$43&lt;=54),--(MMULT(--('כיתה ו5'!$F$7:$AE$43&lt;&gt;""),TRANSPOSE(COLUMN('כיתה ו5'!$F$7:$AE$7)^0))&gt;0))</f>
        <v>0</v>
      </c>
      <c r="G13" s="21">
        <f t="array" ref="G13">(COUNTA('כיתה ו5'!$C$7:$C$43)-SUMPRODUCT(--('כיתה ו5'!$C$7:$C$43&lt;&gt;""),--(MMULT(--('כיתה ו5'!$F$7:$AE$43&lt;&gt;""),TRANSPOSE(COLUMN('כיתה ו5'!$F$7:$AE$7)^0))=0)))</f>
        <v>0</v>
      </c>
    </row>
    <row r="14" spans="1:22" ht="13.5" customHeight="1" x14ac:dyDescent="0.3">
      <c r="A14" s="21" t="s">
        <v>0</v>
      </c>
      <c r="B14" s="21">
        <f t="array" ref="B14">IFERROR((SUMPRODUCT('כיתה ו1'!$AF$7:$AF$43,--('כיתה ו1'!$C$7:$C$43&lt;&gt;""),--(MMULT(--('כיתה ו1'!$F$7:$AE$43&lt;&gt;""),TRANSPOSE(COLUMN('כיתה ו1'!$F$7:$AE$7)^0))&gt;0))+SUMPRODUCT('כיתה ו2'!$AF$7:$AF$43,--('כיתה ו2'!$C$7:$C$43&lt;&gt;""),--(MMULT(--('כיתה ו2'!$F$7:$AE$43&lt;&gt;""),TRANSPOSE(COLUMN('כיתה ו2'!$F$7:$AE$7)^0))&gt;0))+SUMPRODUCT('כיתה ו3'!$AF$7:$AF$43,--('כיתה ו3'!$C$7:$C$43&lt;&gt;""),--(MMULT(--('כיתה ו3'!$F$7:$AE$43&lt;&gt;""),TRANSPOSE(COLUMN('כיתה ו3'!$F$7:$AE$7)^0))&gt;0))+SUMPRODUCT('כיתה ו4'!$AF$7:$AF$43,--('כיתה ו4'!$C$7:$C$43&lt;&gt;""),--(MMULT(--('כיתה ו4'!$F$7:$AE$43&lt;&gt;""),TRANSPOSE(COLUMN('כיתה ו4'!$F$7:$AE$7)^0))&gt;0))+SUMPRODUCT('כיתה ו5'!$AF$7:$AF$43,--('כיתה ו5'!$C$7:$C$43&lt;&gt;""),--(MMULT(--('כיתה ו5'!$F$7:$AE$43&lt;&gt;""),TRANSPOSE(COLUMN('כיתה ו5'!$F$7:$AE$7)^0))&gt;0)))/((COUNTA('כיתה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ו5'!$F$7:$AE$7)^0))=0)))),0)</f>
        <v>0</v>
      </c>
      <c r="C14" s="21">
        <f t="array" ref="C14">SUMPRODUCT(--('כיתה ו1'!$C$7:$C$43&lt;&gt;""),--('כיתה ו1'!$AF$7:$AF$43&gt;=86),--('כיתה ו1'!$AF$7:$AF$43&lt;=100),--(MMULT(--('כיתה ו1'!$F$7:$AE$43&lt;&gt;""),TRANSPOSE(COLUMN('כיתה ו1'!$F$7:$AE$7)^0))&gt;0))+SUMPRODUCT(--('כיתה ו2'!$C$7:$C$43&lt;&gt;""),--('כיתה ו2'!$AF$7:$AF$43&gt;=86),--('כיתה ו2'!$AF$7:$AF$43&lt;=100),--(MMULT(--('כיתה ו2'!$F$7:$AE$43&lt;&gt;""),TRANSPOSE(COLUMN('כיתה ו2'!$F$7:$AE$7)^0))&gt;0))+SUMPRODUCT(--('כיתה ו3'!$C$7:$C$43&lt;&gt;""),--('כיתה ו3'!$AF$7:$AF$43&gt;=86),--('כיתה ו3'!$AF$7:$AF$43&lt;=100),--(MMULT(--('כיתה ו3'!$F$7:$AE$43&lt;&gt;""),TRANSPOSE(COLUMN('כיתה ו3'!$F$7:$AE$7)^0))&gt;0))+SUMPRODUCT(--('כיתה ו4'!$C$7:$C$43&lt;&gt;""),--('כיתה ו4'!$AF$7:$AF$43&gt;=86),--('כיתה ו4'!$AF$7:$AF$43&lt;=100),--(MMULT(--('כיתה ו4'!$F$7:$AE$43&lt;&gt;""),TRANSPOSE(COLUMN('כיתה ו4'!$F$7:$AE$7)^0))&gt;0))+SUMPRODUCT(--('כיתה ו5'!$C$7:$C$43&lt;&gt;""),--('כיתה ו5'!$AF$7:$AF$43&gt;=86),--('כיתה ו5'!$AF$7:$AF$43&lt;=100),--(MMULT(--('כיתה ו5'!$F$7:$AE$43&lt;&gt;""),TRANSPOSE(COLUMN('כיתה ו5'!$F$7:$AE$7)^0))&gt;0))</f>
        <v>0</v>
      </c>
      <c r="D14" s="21">
        <f t="array" ref="D14">SUMPRODUCT(--('כיתה ו1'!$C$7:$C$43&lt;&gt;""),--('כיתה ו1'!$AF$7:$AF$43&gt;=70),--('כיתה ו1'!$AF$7:$AF$43&lt;=85),--(MMULT(--('כיתה ו1'!$F$7:$AE$43&lt;&gt;""),TRANSPOSE(COLUMN('כיתה ו1'!$F$7:$AE$7)^0))&gt;0))+SUMPRODUCT(--('כיתה ו2'!$C$7:$C$43&lt;&gt;""),--('כיתה ו2'!$AF$7:$AF$43&gt;=70),--('כיתה ו2'!$AF$7:$AF$43&lt;=85),--(MMULT(--('כיתה ו2'!$F$7:$AE$43&lt;&gt;""),TRANSPOSE(COLUMN('כיתה ו2'!$F$7:$AE$7)^0))&gt;0))+SUMPRODUCT(--('כיתה ו3'!$C$7:$C$43&lt;&gt;""),--('כיתה ו3'!$AF$7:$AF$43&gt;=70),--('כיתה ו3'!$AF$7:$AF$43&lt;=85),--(MMULT(--('כיתה ו3'!$F$7:$AE$43&lt;&gt;""),TRANSPOSE(COLUMN('כיתה ו3'!$F$7:$AE$7)^0))&gt;0))+SUMPRODUCT(--('כיתה ו4'!$C$7:$C$43&lt;&gt;""),--('כיתה ו4'!$AF$7:$AF$43&gt;=70),--('כיתה ו4'!$AF$7:$AF$43&lt;=85),--(MMULT(--('כיתה ו4'!$F$7:$AE$43&lt;&gt;""),TRANSPOSE(COLUMN('כיתה ו4'!$F$7:$AE$7)^0))&gt;0))+SUMPRODUCT(--('כיתה ו5'!$C$7:$C$43&lt;&gt;""),--('כיתה ו5'!$AF$7:$AF$43&gt;=70),--('כיתה ו5'!$AF$7:$AF$43&lt;=85),--(MMULT(--('כיתה ו5'!$F$7:$AE$43&lt;&gt;""),TRANSPOSE(COLUMN('כיתה ו5'!$F$7:$AE$7)^0))&gt;0))</f>
        <v>0</v>
      </c>
      <c r="E14" s="21">
        <f t="array" ref="E14">SUMPRODUCT(--('כיתה ו1'!$C$7:$C$43&lt;&gt;""),--('כיתה ו1'!$AF$7:$AF$43&gt;=55),--('כיתה ו1'!$AF$7:$AF$43&lt;=69),--(MMULT(--('כיתה ו1'!$F$7:$AE$43&lt;&gt;""),TRANSPOSE(COLUMN('כיתה ו1'!$F$7:$AE$7)^0))&gt;0))+SUMPRODUCT(--('כיתה ו2'!$C$7:$C$43&lt;&gt;""),--('כיתה ו2'!$AF$7:$AF$43&gt;=55),--('כיתה ו2'!$AF$7:$AF$43&lt;=69),--(MMULT(--('כיתה ו2'!$F$7:$AE$43&lt;&gt;""),TRANSPOSE(COLUMN('כיתה ו2'!$F$7:$AE$7)^0))&gt;0))+SUMPRODUCT(--('כיתה ו3'!$C$7:$C$43&lt;&gt;""),--('כיתה ו3'!$AF$7:$AF$43&gt;=55),--('כיתה ו3'!$AF$7:$AF$43&lt;=69),--(MMULT(--('כיתה ו3'!$F$7:$AE$43&lt;&gt;""),TRANSPOSE(COLUMN('כיתה ו3'!$F$7:$AE$7)^0))&gt;0))+SUMPRODUCT(--('כיתה ו4'!$C$7:$C$43&lt;&gt;""),--('כיתה ו4'!$AF$7:$AF$43&gt;=55),--('כיתה ו4'!$AF$7:$AF$43&lt;=69),--(MMULT(--('כיתה ו4'!$F$7:$AE$43&lt;&gt;""),TRANSPOSE(COLUMN('כיתה ו4'!$F$7:$AE$7)^0))&gt;0))+SUMPRODUCT(--('כיתה ו5'!$C$7:$C$43&lt;&gt;""),--('כיתה ו5'!$AF$7:$AF$43&gt;=55),--('כיתה ו5'!$AF$7:$AF$43&lt;=69),--(MMULT(--('כיתה ו5'!$F$7:$AE$43&lt;&gt;""),TRANSPOSE(COLUMN('כיתה ו5'!$F$7:$AE$7)^0))&gt;0))</f>
        <v>0</v>
      </c>
      <c r="F14" s="21">
        <f t="array" ref="F14">SUMPRODUCT(--('כיתה ו1'!$C$7:$C$43&lt;&gt;""),--('כיתה ו1'!$AF$7:$AF$43&gt;=0),--('כיתה ו1'!$AF$7:$AF$43&lt;=54),--(MMULT(--('כיתה ו1'!$F$7:$AE$43&lt;&gt;""),TRANSPOSE(COLUMN('כיתה ו1'!$F$7:$AE$7)^0))&gt;0))+SUMPRODUCT(--('כיתה ו2'!$C$7:$C$43&lt;&gt;""),--('כיתה ו2'!$AF$7:$AF$43&gt;=0),--('כיתה ו2'!$AF$7:$AF$43&lt;=54),--(MMULT(--('כיתה ו2'!$F$7:$AE$43&lt;&gt;""),TRANSPOSE(COLUMN('כיתה ו2'!$F$7:$AE$7)^0))&gt;0))+SUMPRODUCT(--('כיתה ו3'!$C$7:$C$43&lt;&gt;""),--('כיתה ו3'!$AF$7:$AF$43&gt;=0),--('כיתה ו3'!$AF$7:$AF$43&lt;=54),--(MMULT(--('כיתה ו3'!$F$7:$AE$43&lt;&gt;""),TRANSPOSE(COLUMN('כיתה ו3'!$F$7:$AE$7)^0))&gt;0))+SUMPRODUCT(--('כיתה ו4'!$C$7:$C$43&lt;&gt;""),--('כיתה ו4'!$AF$7:$AF$43&gt;=0),--('כיתה ו4'!$AF$7:$AF$43&lt;=54),--(MMULT(--('כיתה ו4'!$F$7:$AE$43&lt;&gt;""),TRANSPOSE(COLUMN('כיתה ו4'!$F$7:$AE$7)^0))&gt;0))+SUMPRODUCT(--('כיתה ו5'!$C$7:$C$43&lt;&gt;""),--('כיתה ו5'!$AF$7:$AF$43&gt;=0),--('כיתה ו5'!$AF$7:$AF$43&lt;=54),--(MMULT(--('כיתה ו5'!$F$7:$AE$43&lt;&gt;""),TRANSPOSE(COLUMN('כיתה ו5'!$F$7:$AE$7)^0))&gt;0))</f>
        <v>0</v>
      </c>
      <c r="G14" s="21">
        <f t="array" ref="G14">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</f>
        <v>0</v>
      </c>
    </row>
    <row r="15" spans="1:22" ht="13.5" customHeight="1" x14ac:dyDescent="0.3"/>
    <row r="16" spans="1:22" ht="13.5" customHeight="1" x14ac:dyDescent="0.3"/>
    <row r="17" spans="1:7" ht="13.5" customHeight="1" x14ac:dyDescent="0.3">
      <c r="A17" s="21" t="s">
        <v>1</v>
      </c>
      <c r="B17" s="21" t="s">
        <v>75</v>
      </c>
      <c r="C17" s="21" t="s">
        <v>76</v>
      </c>
      <c r="D17" s="21" t="s">
        <v>77</v>
      </c>
      <c r="E17" s="21" t="s">
        <v>78</v>
      </c>
      <c r="F17" s="21" t="s">
        <v>79</v>
      </c>
      <c r="G17" s="21" t="s">
        <v>0</v>
      </c>
    </row>
    <row r="18" spans="1:7" ht="13.5" customHeight="1" x14ac:dyDescent="0.3">
      <c r="A18" s="21" t="s">
        <v>2</v>
      </c>
      <c r="B18" s="21">
        <f t="array" ref="B18">IFERROR((SUMIF('כיתה ו1'!$C$7:$C$43,"&lt;&gt;",'כיתה ו1'!$F$7:$F$43))/((COUNTA('כיתה ו1'!$C$7:$C$43)-SUMPRODUCT(--('כיתה ו1'!$C$7:$C$43&lt;&gt;""),--(MMULT(--('כיתה ו1'!$F$7:$AE$43&lt;&gt;""),TRANSPOSE(COLUMN('כיתה ו1'!$F$7:$AE$7)^0))=0)))*4),0)</f>
        <v>0</v>
      </c>
      <c r="C18" s="21">
        <f t="array" ref="C18">IFERROR((SUMIF('כיתה ו2'!$C$7:$C$43,"&lt;&gt;",'כיתה ו2'!$F$7:$F$43))/((COUNTA('כיתה ו2'!$C$7:$C$43)-SUMPRODUCT(--('כיתה ו2'!$C$7:$C$43&lt;&gt;""),--(MMULT(--('כיתה ו2'!$F$7:$AE$43&lt;&gt;""),TRANSPOSE(COLUMN('כיתה ו2'!$F$7:$AE$7)^0))=0)))*4),0)</f>
        <v>0</v>
      </c>
      <c r="D18" s="21">
        <f t="array" ref="D18">IFERROR((SUMIF('כיתה ו3'!$C$7:$C$43,"&lt;&gt;",'כיתה ו3'!$F$7:$F$43))/((COUNTA('כיתה ו3'!$C$7:$C$43)-SUMPRODUCT(--('כיתה ו3'!$C$7:$C$43&lt;&gt;""),--(MMULT(--('כיתה ו3'!$F$7:$AE$43&lt;&gt;""),TRANSPOSE(COLUMN('כיתה ו3'!$F$7:$AE$7)^0))=0)))*4),0)</f>
        <v>0</v>
      </c>
      <c r="E18" s="21">
        <f t="array" ref="E18">IFERROR((SUMIF('כיתה ו4'!$C$7:$C$43,"&lt;&gt;",'כיתה ו4'!$F$7:$F$43))/((COUNTA('כיתה ו4'!$C$7:$C$43)-SUMPRODUCT(--('כיתה ו4'!$C$7:$C$43&lt;&gt;""),--(MMULT(--('כיתה ו4'!$F$7:$AE$43&lt;&gt;""),TRANSPOSE(COLUMN('כיתה ו4'!$F$7:$AE$7)^0))=0)))*4),0)</f>
        <v>0</v>
      </c>
      <c r="F18" s="21">
        <f t="array" ref="F18">IFERROR((SUMIF('כיתה ו5'!$C$7:$C$43,"&lt;&gt;",'כיתה ו5'!$F$7:$F$43))/((COUNTA('כיתה ו5'!$C$7:$C$43)-SUMPRODUCT(--('כיתה ו5'!$C$7:$C$43&lt;&gt;""),--(MMULT(--('כיתה ו5'!$F$7:$AE$43&lt;&gt;""),TRANSPOSE(COLUMN('כיתה ו5'!$F$7:$AE$7)^0))=0)))*4),0)</f>
        <v>0</v>
      </c>
      <c r="G18" s="21">
        <f t="array" ref="G18">IFERROR((SUMIF('כיתה ו1'!$C$7:$C$43,"&lt;&gt;",'כיתה ו1'!$F$7:$F$43)+SUMIF('כיתה ו2'!$C$7:$C$43,"&lt;&gt;",'כיתה ו2'!$F$7:$F$43)+SUMIF('כיתה ו3'!$C$7:$C$43,"&lt;&gt;",'כיתה ו3'!$F$7:$F$43)+SUMIF('כיתה ו4'!$C$7:$C$43,"&lt;&gt;",'כיתה ו4'!$F$7:$F$43)+SUMIF('כיתה ו5'!$C$7:$C$43,"&lt;&gt;",'כיתה ו5'!$F$7:$F$43))/(((COUNTA('כיתה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</row>
    <row r="19" spans="1:7" ht="13.5" customHeight="1" x14ac:dyDescent="0.3">
      <c r="A19" s="21" t="s">
        <v>5</v>
      </c>
      <c r="B19" s="21">
        <f t="array" ref="B19">IFERROR((SUMIF('כיתה ו1'!$C$7:$C$43,"&lt;&gt;",'כיתה ו1'!$G$7:$G$43)+SUMIF('כיתה ו1'!$C$7:$C$43,"&lt;&gt;",'כיתה ו1'!$H$7:$H$43)+SUMIF('כיתה ו1'!$C$7:$C$43,"&lt;&gt;",'כיתה ו1'!$I$7:$I$43)+SUMIF('כיתה ו1'!$C$7:$C$43,"&lt;&gt;",'כיתה ו1'!$J$7:$J$43)+SUMIF('כיתה ו1'!$C$7:$C$43,"&lt;&gt;",'כיתה ו1'!$K$7:$K$43)+SUMIF('כיתה ו1'!$C$7:$C$43,"&lt;&gt;",'כיתה ו1'!$L$7:$L$43)+SUMIF('כיתה ו1'!$C$7:$C$43,"&lt;&gt;",'כיתה ו1'!$M$7:$M$43))/((COUNTA('כיתה ו1'!$C$7:$C$43)-SUMPRODUCT(--('כיתה ו1'!$C$7:$C$43&lt;&gt;""),--(MMULT(--('כיתה ו1'!$F$7:$AE$43&lt;&gt;""),TRANSPOSE(COLUMN('כיתה ו1'!$F$7:$AE$7)^0))=0)))*30),0)</f>
        <v>0</v>
      </c>
      <c r="C19" s="21">
        <f t="array" ref="C19">IFERROR((SUMIF('כיתה ו2'!$C$7:$C$43,"&lt;&gt;",'כיתה ו2'!$G$7:$G$43)+SUMIF('כיתה ו2'!$C$7:$C$43,"&lt;&gt;",'כיתה ו2'!$H$7:$H$43)+SUMIF('כיתה ו2'!$C$7:$C$43,"&lt;&gt;",'כיתה ו2'!$I$7:$I$43)+SUMIF('כיתה ו2'!$C$7:$C$43,"&lt;&gt;",'כיתה ו2'!$J$7:$J$43)+SUMIF('כיתה ו2'!$C$7:$C$43,"&lt;&gt;",'כיתה ו2'!$K$7:$K$43)+SUMIF('כיתה ו2'!$C$7:$C$43,"&lt;&gt;",'כיתה ו2'!$L$7:$L$43)+SUMIF('כיתה ו2'!$C$7:$C$43,"&lt;&gt;",'כיתה ו2'!$M$7:$M$43))/((COUNTA('כיתה ו2'!$C$7:$C$43)-SUMPRODUCT(--('כיתה ו2'!$C$7:$C$43&lt;&gt;""),--(MMULT(--('כיתה ו2'!$F$7:$AE$43&lt;&gt;""),TRANSPOSE(COLUMN('כיתה ו2'!$F$7:$AE$7)^0))=0)))*30),0)</f>
        <v>0</v>
      </c>
      <c r="D19" s="21">
        <f t="array" ref="D19">IFERROR((SUMIF('כיתה ו3'!$C$7:$C$43,"&lt;&gt;",'כיתה ו3'!$G$7:$G$43)+SUMIF('כיתה ו3'!$C$7:$C$43,"&lt;&gt;",'כיתה ו3'!$H$7:$H$43)+SUMIF('כיתה ו3'!$C$7:$C$43,"&lt;&gt;",'כיתה ו3'!$I$7:$I$43)+SUMIF('כיתה ו3'!$C$7:$C$43,"&lt;&gt;",'כיתה ו3'!$J$7:$J$43)+SUMIF('כיתה ו3'!$C$7:$C$43,"&lt;&gt;",'כיתה ו3'!$K$7:$K$43)+SUMIF('כיתה ו3'!$C$7:$C$43,"&lt;&gt;",'כיתה ו3'!$L$7:$L$43)+SUMIF('כיתה ו3'!$C$7:$C$43,"&lt;&gt;",'כיתה ו3'!$M$7:$M$43))/((COUNTA('כיתה ו3'!$C$7:$C$43)-SUMPRODUCT(--('כיתה ו3'!$C$7:$C$43&lt;&gt;""),--(MMULT(--('כיתה ו3'!$F$7:$AE$43&lt;&gt;""),TRANSPOSE(COLUMN('כיתה ו3'!$F$7:$AE$7)^0))=0)))*30),0)</f>
        <v>0</v>
      </c>
      <c r="E19" s="21">
        <f t="array" ref="E19">IFERROR((SUMIF('כיתה ו4'!$C$7:$C$43,"&lt;&gt;",'כיתה ו4'!$G$7:$G$43)+SUMIF('כיתה ו4'!$C$7:$C$43,"&lt;&gt;",'כיתה ו4'!$H$7:$H$43)+SUMIF('כיתה ו4'!$C$7:$C$43,"&lt;&gt;",'כיתה ו4'!$I$7:$I$43)+SUMIF('כיתה ו4'!$C$7:$C$43,"&lt;&gt;",'כיתה ו4'!$J$7:$J$43)+SUMIF('כיתה ו4'!$C$7:$C$43,"&lt;&gt;",'כיתה ו4'!$K$7:$K$43)+SUMIF('כיתה ו4'!$C$7:$C$43,"&lt;&gt;",'כיתה ו4'!$L$7:$L$43)+SUMIF('כיתה ו4'!$C$7:$C$43,"&lt;&gt;",'כיתה ו4'!$M$7:$M$43))/((COUNTA('כיתה ו4'!$C$7:$C$43)-SUMPRODUCT(--('כיתה ו4'!$C$7:$C$43&lt;&gt;""),--(MMULT(--('כיתה ו4'!$F$7:$AE$43&lt;&gt;""),TRANSPOSE(COLUMN('כיתה ו4'!$F$7:$AE$7)^0))=0)))*30),0)</f>
        <v>0</v>
      </c>
      <c r="F19" s="21">
        <f t="array" ref="F19">IFERROR((SUMIF('כיתה ו5'!$C$7:$C$43,"&lt;&gt;",'כיתה ו5'!$G$7:$G$43)+SUMIF('כיתה ו5'!$C$7:$C$43,"&lt;&gt;",'כיתה ו5'!$H$7:$H$43)+SUMIF('כיתה ו5'!$C$7:$C$43,"&lt;&gt;",'כיתה ו5'!$I$7:$I$43)+SUMIF('כיתה ו5'!$C$7:$C$43,"&lt;&gt;",'כיתה ו5'!$J$7:$J$43)+SUMIF('כיתה ו5'!$C$7:$C$43,"&lt;&gt;",'כיתה ו5'!$K$7:$K$43)+SUMIF('כיתה ו5'!$C$7:$C$43,"&lt;&gt;",'כיתה ו5'!$L$7:$L$43)+SUMIF('כיתה ו5'!$C$7:$C$43,"&lt;&gt;",'כיתה ו5'!$M$7:$M$43))/((COUNTA('כיתה ו5'!$C$7:$C$43)-SUMPRODUCT(--('כיתה ו5'!$C$7:$C$43&lt;&gt;""),--(MMULT(--('כיתה ו5'!$F$7:$AE$43&lt;&gt;""),TRANSPOSE(COLUMN('כיתה ו5'!$F$7:$AE$7)^0))=0)))*30),0)</f>
        <v>0</v>
      </c>
      <c r="G19" s="21">
        <f t="array" ref="G19">IFERROR((SUMIF('כיתה ו1'!$C$7:$C$43,"&lt;&gt;",'כיתה ו1'!$G$7:$G$43)+SUMIF('כיתה ו1'!$C$7:$C$43,"&lt;&gt;",'כיתה ו1'!$H$7:$H$43)+SUMIF('כיתה ו1'!$C$7:$C$43,"&lt;&gt;",'כיתה ו1'!$I$7:$I$43)+SUMIF('כיתה ו1'!$C$7:$C$43,"&lt;&gt;",'כיתה ו1'!$J$7:$J$43)+SUMIF('כיתה ו1'!$C$7:$C$43,"&lt;&gt;",'כיתה ו1'!$K$7:$K$43)+SUMIF('כיתה ו1'!$C$7:$C$43,"&lt;&gt;",'כיתה ו1'!$L$7:$L$43)+SUMIF('כיתה ו1'!$C$7:$C$43,"&lt;&gt;",'כיתה ו1'!$M$7:$M$43)+SUMIF('כיתה ו2'!$C$7:$C$43,"&lt;&gt;",'כיתה ו2'!$G$7:$G$43)+SUMIF('כיתה ו2'!$C$7:$C$43,"&lt;&gt;",'כיתה ו2'!$H$7:$H$43)+SUMIF('כיתה ו2'!$C$7:$C$43,"&lt;&gt;",'כיתה ו2'!$I$7:$I$43)+SUMIF('כיתה ו2'!$C$7:$C$43,"&lt;&gt;",'כיתה ו2'!$J$7:$J$43)+SUMIF('כיתה ו2'!$C$7:$C$43,"&lt;&gt;",'כיתה ו2'!$K$7:$K$43)+SUMIF('כיתה ו2'!$C$7:$C$43,"&lt;&gt;",'כיתה ו2'!$L$7:$L$43)+SUMIF('כיתה ו2'!$C$7:$C$43,"&lt;&gt;",'כיתה ו2'!$M$7:$M$43)+SUMIF('כיתה ו3'!$C$7:$C$43,"&lt;&gt;",'כיתה ו3'!$G$7:$G$43)+SUMIF('כיתה ו3'!$C$7:$C$43,"&lt;&gt;",'כיתה ו3'!$H$7:$H$43)+SUMIF('כיתה ו3'!$C$7:$C$43,"&lt;&gt;",'כיתה ו3'!$I$7:$I$43)+SUMIF('כיתה ו3'!$C$7:$C$43,"&lt;&gt;",'כיתה ו3'!$J$7:$J$43)+SUMIF('כיתה ו3'!$C$7:$C$43,"&lt;&gt;",'כיתה ו3'!$K$7:$K$43)+SUMIF('כיתה ו3'!$C$7:$C$43,"&lt;&gt;",'כיתה ו3'!$L$7:$L$43)+SUMIF('כיתה ו3'!$C$7:$C$43,"&lt;&gt;",'כיתה ו3'!$M$7:$M$43)+SUMIF('כיתה ו4'!$C$7:$C$43,"&lt;&gt;",'כיתה ו4'!$G$7:$G$43)+SUMIF('כיתה ו4'!$C$7:$C$43,"&lt;&gt;",'כיתה ו4'!$H$7:$H$43)+SUMIF('כיתה ו4'!$C$7:$C$43,"&lt;&gt;",'כיתה ו4'!$I$7:$I$43)+SUMIF('כיתה ו4'!$C$7:$C$43,"&lt;&gt;",'כיתה ו4'!$J$7:$J$43)+SUMIF('כיתה ו4'!$C$7:$C$43,"&lt;&gt;",'כיתה ו4'!$K$7:$K$43)+SUMIF('כיתה ו4'!$C$7:$C$43,"&lt;&gt;",'כיתה ו4'!$L$7:$L$43)+SUMIF('כיתה ו4'!$C$7:$C$43,"&lt;&gt;",'כיתה ו4'!$M$7:$M$43)+SUMIF('כיתה ו5'!$C$7:$C$43,"&lt;&gt;",'כיתה ו5'!$G$7:$G$43)+SUMIF('כיתה ו5'!$C$7:$C$43,"&lt;&gt;",'כיתה ו5'!$H$7:$H$43)+SUMIF('כיתה ו5'!$C$7:$C$43,"&lt;&gt;",'כיתה ו5'!$I$7:$I$43)+SUMIF('כיתה ו5'!$C$7:$C$43,"&lt;&gt;",'כיתה ו5'!$J$7:$J$43)+SUMIF('כיתה ו5'!$C$7:$C$43,"&lt;&gt;",'כיתה ו5'!$K$7:$K$43)+SUMIF('כיתה ו5'!$C$7:$C$43,"&lt;&gt;",'כיתה ו5'!$L$7:$L$43)+SUMIF('כיתה ו5'!$C$7:$C$43,"&lt;&gt;",'כיתה ו5'!$M$7:$M$43))/(((COUNTA('כיתה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ו5'!$F$7:$AE$7)^0))=0))))*30),0)</f>
        <v>0</v>
      </c>
    </row>
    <row r="20" spans="1:7" ht="13.5" customHeight="1" x14ac:dyDescent="0.3">
      <c r="A20" s="21" t="s">
        <v>17</v>
      </c>
      <c r="B20" s="21">
        <f t="array" ref="B20">IFERROR((SUMIF('כיתה ו1'!$C$7:$C$43,"&lt;&gt;",'כיתה ו1'!$N$7:$N$43)+SUMIF('כיתה ו1'!$C$7:$C$43,"&lt;&gt;",'כיתה ו1'!$O$7:$O$43)+SUMIF('כיתה ו1'!$C$7:$C$43,"&lt;&gt;",'כיתה ו1'!$P$7:$P$43)+SUMIF('כיתה ו1'!$C$7:$C$43,"&lt;&gt;",'כיתה ו1'!$Q$7:$Q$43)+SUMIF('כיתה ו1'!$C$7:$C$43,"&lt;&gt;",'כיתה ו1'!$AA$7:$AA$43))/((COUNTA('כיתה ו1'!$C$7:$C$43)-SUMPRODUCT(--('כיתה ו1'!$C$7:$C$43&lt;&gt;""),--(MMULT(--('כיתה ו1'!$F$7:$AE$43&lt;&gt;""),TRANSPOSE(COLUMN('כיתה ו1'!$F$7:$AE$7)^0))=0)))*20),0)</f>
        <v>0</v>
      </c>
      <c r="C20" s="21">
        <f t="array" ref="C20">IFERROR((SUMIF('כיתה ו2'!$C$7:$C$43,"&lt;&gt;",'כיתה ו2'!$N$7:$N$43)+SUMIF('כיתה ו2'!$C$7:$C$43,"&lt;&gt;",'כיתה ו2'!$O$7:$O$43)+SUMIF('כיתה ו2'!$C$7:$C$43,"&lt;&gt;",'כיתה ו2'!$P$7:$P$43)+SUMIF('כיתה ו2'!$C$7:$C$43,"&lt;&gt;",'כיתה ו2'!$Q$7:$Q$43)+SUMIF('כיתה ו2'!$C$7:$C$43,"&lt;&gt;",'כיתה ו2'!$AA$7:$AA$43))/((COUNTA('כיתה ו2'!$C$7:$C$43)-SUMPRODUCT(--('כיתה ו2'!$C$7:$C$43&lt;&gt;""),--(MMULT(--('כיתה ו2'!$F$7:$AE$43&lt;&gt;""),TRANSPOSE(COLUMN('כיתה ו2'!$F$7:$AE$7)^0))=0)))*20),0)</f>
        <v>0</v>
      </c>
      <c r="D20" s="21">
        <f t="array" ref="D20">IFERROR((SUMIF('כיתה ו3'!$C$7:$C$43,"&lt;&gt;",'כיתה ו3'!$N$7:$N$43)+SUMIF('כיתה ו3'!$C$7:$C$43,"&lt;&gt;",'כיתה ו3'!$O$7:$O$43)+SUMIF('כיתה ו3'!$C$7:$C$43,"&lt;&gt;",'כיתה ו3'!$P$7:$P$43)+SUMIF('כיתה ו3'!$C$7:$C$43,"&lt;&gt;",'כיתה ו3'!$Q$7:$Q$43)+SUMIF('כיתה ו3'!$C$7:$C$43,"&lt;&gt;",'כיתה ו3'!$AA$7:$AA$43))/((COUNTA('כיתה ו3'!$C$7:$C$43)-SUMPRODUCT(--('כיתה ו3'!$C$7:$C$43&lt;&gt;""),--(MMULT(--('כיתה ו3'!$F$7:$AE$43&lt;&gt;""),TRANSPOSE(COLUMN('כיתה ו3'!$F$7:$AE$7)^0))=0)))*20),0)</f>
        <v>0</v>
      </c>
      <c r="E20" s="21">
        <f t="array" ref="E20">IFERROR((SUMIF('כיתה ו4'!$C$7:$C$43,"&lt;&gt;",'כיתה ו4'!$N$7:$N$43)+SUMIF('כיתה ו4'!$C$7:$C$43,"&lt;&gt;",'כיתה ו4'!$O$7:$O$43)+SUMIF('כיתה ו4'!$C$7:$C$43,"&lt;&gt;",'כיתה ו4'!$P$7:$P$43)+SUMIF('כיתה ו4'!$C$7:$C$43,"&lt;&gt;",'כיתה ו4'!$Q$7:$Q$43)+SUMIF('כיתה ו4'!$C$7:$C$43,"&lt;&gt;",'כיתה ו4'!$AA$7:$AA$43))/((COUNTA('כיתה ו4'!$C$7:$C$43)-SUMPRODUCT(--('כיתה ו4'!$C$7:$C$43&lt;&gt;""),--(MMULT(--('כיתה ו4'!$F$7:$AE$43&lt;&gt;""),TRANSPOSE(COLUMN('כיתה ו4'!$F$7:$AE$7)^0))=0)))*20),0)</f>
        <v>0</v>
      </c>
      <c r="F20" s="21">
        <f t="array" ref="F20">IFERROR((SUMIF('כיתה ו5'!$C$7:$C$43,"&lt;&gt;",'כיתה ו5'!$N$7:$N$43)+SUMIF('כיתה ו5'!$C$7:$C$43,"&lt;&gt;",'כיתה ו5'!$O$7:$O$43)+SUMIF('כיתה ו5'!$C$7:$C$43,"&lt;&gt;",'כיתה ו5'!$P$7:$P$43)+SUMIF('כיתה ו5'!$C$7:$C$43,"&lt;&gt;",'כיתה ו5'!$Q$7:$Q$43)+SUMIF('כיתה ו5'!$C$7:$C$43,"&lt;&gt;",'כיתה ו5'!$AA$7:$AA$43))/((COUNTA('כיתה ו5'!$C$7:$C$43)-SUMPRODUCT(--('כיתה ו5'!$C$7:$C$43&lt;&gt;""),--(MMULT(--('כיתה ו5'!$F$7:$AE$43&lt;&gt;""),TRANSPOSE(COLUMN('כיתה ו5'!$F$7:$AE$7)^0))=0)))*20),0)</f>
        <v>0</v>
      </c>
      <c r="G20" s="21">
        <f t="array" ref="G20">IFERROR((SUMIF('כיתה ו1'!$C$7:$C$43,"&lt;&gt;",'כיתה ו1'!$N$7:$N$43)+SUMIF('כיתה ו1'!$C$7:$C$43,"&lt;&gt;",'כיתה ו1'!$O$7:$O$43)+SUMIF('כיתה ו1'!$C$7:$C$43,"&lt;&gt;",'כיתה ו1'!$P$7:$P$43)+SUMIF('כיתה ו1'!$C$7:$C$43,"&lt;&gt;",'כיתה ו1'!$Q$7:$Q$43)+SUMIF('כיתה ו1'!$C$7:$C$43,"&lt;&gt;",'כיתה ו1'!$AA$7:$AA$43)+SUMIF('כיתה ו2'!$C$7:$C$43,"&lt;&gt;",'כיתה ו2'!$N$7:$N$43)+SUMIF('כיתה ו2'!$C$7:$C$43,"&lt;&gt;",'כיתה ו2'!$O$7:$O$43)+SUMIF('כיתה ו2'!$C$7:$C$43,"&lt;&gt;",'כיתה ו2'!$P$7:$P$43)+SUMIF('כיתה ו2'!$C$7:$C$43,"&lt;&gt;",'כיתה ו2'!$Q$7:$Q$43)+SUMIF('כיתה ו2'!$C$7:$C$43,"&lt;&gt;",'כיתה ו2'!$AA$7:$AA$43)+SUMIF('כיתה ו3'!$C$7:$C$43,"&lt;&gt;",'כיתה ו3'!$N$7:$N$43)+SUMIF('כיתה ו3'!$C$7:$C$43,"&lt;&gt;",'כיתה ו3'!$O$7:$O$43)+SUMIF('כיתה ו3'!$C$7:$C$43,"&lt;&gt;",'כיתה ו3'!$P$7:$P$43)+SUMIF('כיתה ו3'!$C$7:$C$43,"&lt;&gt;",'כיתה ו3'!$Q$7:$Q$43)+SUMIF('כיתה ו3'!$C$7:$C$43,"&lt;&gt;",'כיתה ו3'!$AA$7:$AA$43)+SUMIF('כיתה ו4'!$C$7:$C$43,"&lt;&gt;",'כיתה ו4'!$N$7:$N$43)+SUMIF('כיתה ו4'!$C$7:$C$43,"&lt;&gt;",'כיתה ו4'!$O$7:$O$43)+SUMIF('כיתה ו4'!$C$7:$C$43,"&lt;&gt;",'כיתה ו4'!$P$7:$P$43)+SUMIF('כיתה ו4'!$C$7:$C$43,"&lt;&gt;",'כיתה ו4'!$Q$7:$Q$43)+SUMIF('כיתה ו4'!$C$7:$C$43,"&lt;&gt;",'כיתה ו4'!$AA$7:$AA$43)+SUMIF('כיתה ו5'!$C$7:$C$43,"&lt;&gt;",'כיתה ו5'!$N$7:$N$43)+SUMIF('כיתה ו5'!$C$7:$C$43,"&lt;&gt;",'כיתה ו5'!$O$7:$O$43)+SUMIF('כיתה ו5'!$C$7:$C$43,"&lt;&gt;",'כיתה ו5'!$P$7:$P$43)+SUMIF('כיתה ו5'!$C$7:$C$43,"&lt;&gt;",'כיתה ו5'!$Q$7:$Q$43)+SUMIF('כיתה ו5'!$C$7:$C$43,"&lt;&gt;",'כיתה ו5'!$AA$7:$AA$43))/(((COUNTA('כיתה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ו5'!$F$7:$AE$7)^0))=0))))*20),0)</f>
        <v>0</v>
      </c>
    </row>
    <row r="21" spans="1:7" ht="13.5" customHeight="1" x14ac:dyDescent="0.3">
      <c r="A21" s="21" t="s">
        <v>19</v>
      </c>
      <c r="B21" s="21">
        <f t="array" ref="B21">IFERROR((SUMIF('כיתה ו1'!$C$7:$C$43,"&lt;&gt;",'כיתה ו1'!$R$7:$R$43)+SUMIF('כיתה ו1'!$C$7:$C$43,"&lt;&gt;",'כיתה ו1'!$W$7:$W$43)+SUMIF('כיתה ו1'!$C$7:$C$43,"&lt;&gt;",'כיתה ו1'!$Y$7:$Y$43))/((COUNTA('כיתה ו1'!$C$7:$C$43)-SUMPRODUCT(--('כיתה ו1'!$C$7:$C$43&lt;&gt;""),--(MMULT(--('כיתה ו1'!$F$7:$AE$43&lt;&gt;""),TRANSPOSE(COLUMN('כיתה ו1'!$F$7:$AE$7)^0))=0)))*13),0)</f>
        <v>0</v>
      </c>
      <c r="C21" s="21">
        <f t="array" ref="C21">IFERROR((SUMIF('כיתה ו2'!$C$7:$C$43,"&lt;&gt;",'כיתה ו2'!$R$7:$R$43)+SUMIF('כיתה ו2'!$C$7:$C$43,"&lt;&gt;",'כיתה ו2'!$W$7:$W$43)+SUMIF('כיתה ו2'!$C$7:$C$43,"&lt;&gt;",'כיתה ו2'!$Y$7:$Y$43))/((COUNTA('כיתה ו2'!$C$7:$C$43)-SUMPRODUCT(--('כיתה ו2'!$C$7:$C$43&lt;&gt;""),--(MMULT(--('כיתה ו2'!$F$7:$AE$43&lt;&gt;""),TRANSPOSE(COLUMN('כיתה ו2'!$F$7:$AE$7)^0))=0)))*13),0)</f>
        <v>0</v>
      </c>
      <c r="D21" s="21">
        <f t="array" ref="D21">IFERROR((SUMIF('כיתה ו3'!$C$7:$C$43,"&lt;&gt;",'כיתה ו3'!$R$7:$R$43)+SUMIF('כיתה ו3'!$C$7:$C$43,"&lt;&gt;",'כיתה ו3'!$W$7:$W$43)+SUMIF('כיתה ו3'!$C$7:$C$43,"&lt;&gt;",'כיתה ו3'!$Y$7:$Y$43))/((COUNTA('כיתה ו3'!$C$7:$C$43)-SUMPRODUCT(--('כיתה ו3'!$C$7:$C$43&lt;&gt;""),--(MMULT(--('כיתה ו3'!$F$7:$AE$43&lt;&gt;""),TRANSPOSE(COLUMN('כיתה ו3'!$F$7:$AE$7)^0))=0)))*13),0)</f>
        <v>0</v>
      </c>
      <c r="E21" s="21">
        <f t="array" ref="E21">IFERROR((SUMIF('כיתה ו4'!$C$7:$C$43,"&lt;&gt;",'כיתה ו4'!$R$7:$R$43)+SUMIF('כיתה ו4'!$C$7:$C$43,"&lt;&gt;",'כיתה ו4'!$W$7:$W$43)+SUMIF('כיתה ו4'!$C$7:$C$43,"&lt;&gt;",'כיתה ו4'!$Y$7:$Y$43))/((COUNTA('כיתה ו4'!$C$7:$C$43)-SUMPRODUCT(--('כיתה ו4'!$C$7:$C$43&lt;&gt;""),--(MMULT(--('כיתה ו4'!$F$7:$AE$43&lt;&gt;""),TRANSPOSE(COLUMN('כיתה ו4'!$F$7:$AE$7)^0))=0)))*13),0)</f>
        <v>0</v>
      </c>
      <c r="F21" s="21">
        <f t="array" ref="F21">IFERROR((SUMIF('כיתה ו5'!$C$7:$C$43,"&lt;&gt;",'כיתה ו5'!$R$7:$R$43)+SUMIF('כיתה ו5'!$C$7:$C$43,"&lt;&gt;",'כיתה ו5'!$W$7:$W$43)+SUMIF('כיתה ו5'!$C$7:$C$43,"&lt;&gt;",'כיתה ו5'!$Y$7:$Y$43))/((COUNTA('כיתה ו5'!$C$7:$C$43)-SUMPRODUCT(--('כיתה ו5'!$C$7:$C$43&lt;&gt;""),--(MMULT(--('כיתה ו5'!$F$7:$AE$43&lt;&gt;""),TRANSPOSE(COLUMN('כיתה ו5'!$F$7:$AE$7)^0))=0)))*13),0)</f>
        <v>0</v>
      </c>
      <c r="G21" s="21">
        <f t="array" ref="G21">IFERROR((SUMIF('כיתה ו1'!$C$7:$C$43,"&lt;&gt;",'כיתה ו1'!$R$7:$R$43)+SUMIF('כיתה ו1'!$C$7:$C$43,"&lt;&gt;",'כיתה ו1'!$W$7:$W$43)+SUMIF('כיתה ו1'!$C$7:$C$43,"&lt;&gt;",'כיתה ו1'!$Y$7:$Y$43)+SUMIF('כיתה ו2'!$C$7:$C$43,"&lt;&gt;",'כיתה ו2'!$R$7:$R$43)+SUMIF('כיתה ו2'!$C$7:$C$43,"&lt;&gt;",'כיתה ו2'!$W$7:$W$43)+SUMIF('כיתה ו2'!$C$7:$C$43,"&lt;&gt;",'כיתה ו2'!$Y$7:$Y$43)+SUMIF('כיתה ו3'!$C$7:$C$43,"&lt;&gt;",'כיתה ו3'!$R$7:$R$43)+SUMIF('כיתה ו3'!$C$7:$C$43,"&lt;&gt;",'כיתה ו3'!$W$7:$W$43)+SUMIF('כיתה ו3'!$C$7:$C$43,"&lt;&gt;",'כיתה ו3'!$Y$7:$Y$43)+SUMIF('כיתה ו4'!$C$7:$C$43,"&lt;&gt;",'כיתה ו4'!$R$7:$R$43)+SUMIF('כיתה ו4'!$C$7:$C$43,"&lt;&gt;",'כיתה ו4'!$W$7:$W$43)+SUMIF('כיתה ו4'!$C$7:$C$43,"&lt;&gt;",'כיתה ו4'!$Y$7:$Y$43)+SUMIF('כיתה ו5'!$C$7:$C$43,"&lt;&gt;",'כיתה ו5'!$R$7:$R$43)+SUMIF('כיתה ו5'!$C$7:$C$43,"&lt;&gt;",'כיתה ו5'!$W$7:$W$43)+SUMIF('כיתה ו5'!$C$7:$C$43,"&lt;&gt;",'כיתה ו5'!$Y$7:$Y$43))/(((COUNTA('כיתה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ו5'!$F$7:$AE$7)^0))=0))))*13),0)</f>
        <v>0</v>
      </c>
    </row>
    <row r="22" spans="1:7" ht="13.5" customHeight="1" x14ac:dyDescent="0.3">
      <c r="A22" s="21" t="s">
        <v>8</v>
      </c>
      <c r="B22" s="21">
        <f t="array" ref="B22">IFERROR((SUMIF('כיתה ו1'!$C$7:$C$43,"&lt;&gt;",'כיתה ו1'!$S$7:$S$43)+SUMIF('כיתה ו1'!$C$7:$C$43,"&lt;&gt;",'כיתה ו1'!$T$7:$T$43)+SUMIF('כיתה ו1'!$C$7:$C$43,"&lt;&gt;",'כיתה ו1'!$U$7:$U$43)+SUMIF('כיתה ו1'!$C$7:$C$43,"&lt;&gt;",'כיתה ו1'!$V$7:$V$43))/((COUNTA('כיתה ו1'!$C$7:$C$43)-SUMPRODUCT(--('כיתה ו1'!$C$7:$C$43&lt;&gt;""),--(MMULT(--('כיתה ו1'!$F$7:$AE$43&lt;&gt;""),TRANSPOSE(COLUMN('כיתה ו1'!$F$7:$AE$7)^0))=0)))*8),0)</f>
        <v>0</v>
      </c>
      <c r="C22" s="21">
        <f t="array" ref="C22">IFERROR((SUMIF('כיתה ו2'!$C$7:$C$43,"&lt;&gt;",'כיתה ו2'!$S$7:$S$43)+SUMIF('כיתה ו2'!$C$7:$C$43,"&lt;&gt;",'כיתה ו2'!$T$7:$T$43)+SUMIF('כיתה ו2'!$C$7:$C$43,"&lt;&gt;",'כיתה ו2'!$U$7:$U$43)+SUMIF('כיתה ו2'!$C$7:$C$43,"&lt;&gt;",'כיתה ו2'!$V$7:$V$43))/((COUNTA('כיתה ו2'!$C$7:$C$43)-SUMPRODUCT(--('כיתה ו2'!$C$7:$C$43&lt;&gt;""),--(MMULT(--('כיתה ו2'!$F$7:$AE$43&lt;&gt;""),TRANSPOSE(COLUMN('כיתה ו2'!$F$7:$AE$7)^0))=0)))*8),0)</f>
        <v>0</v>
      </c>
      <c r="D22" s="21">
        <f t="array" ref="D22">IFERROR((SUMIF('כיתה ו3'!$C$7:$C$43,"&lt;&gt;",'כיתה ו3'!$S$7:$S$43)+SUMIF('כיתה ו3'!$C$7:$C$43,"&lt;&gt;",'כיתה ו3'!$T$7:$T$43)+SUMIF('כיתה ו3'!$C$7:$C$43,"&lt;&gt;",'כיתה ו3'!$U$7:$U$43)+SUMIF('כיתה ו3'!$C$7:$C$43,"&lt;&gt;",'כיתה ו3'!$V$7:$V$43))/((COUNTA('כיתה ו3'!$C$7:$C$43)-SUMPRODUCT(--('כיתה ו3'!$C$7:$C$43&lt;&gt;""),--(MMULT(--('כיתה ו3'!$F$7:$AE$43&lt;&gt;""),TRANSPOSE(COLUMN('כיתה ו3'!$F$7:$AE$7)^0))=0)))*8),0)</f>
        <v>0</v>
      </c>
      <c r="E22" s="21">
        <f t="array" ref="E22">IFERROR((SUMIF('כיתה ו4'!$C$7:$C$43,"&lt;&gt;",'כיתה ו4'!$S$7:$S$43)+SUMIF('כיתה ו4'!$C$7:$C$43,"&lt;&gt;",'כיתה ו4'!$T$7:$T$43)+SUMIF('כיתה ו4'!$C$7:$C$43,"&lt;&gt;",'כיתה ו4'!$U$7:$U$43)+SUMIF('כיתה ו4'!$C$7:$C$43,"&lt;&gt;",'כיתה ו4'!$V$7:$V$43))/((COUNTA('כיתה ו4'!$C$7:$C$43)-SUMPRODUCT(--('כיתה ו4'!$C$7:$C$43&lt;&gt;""),--(MMULT(--('כיתה ו4'!$F$7:$AE$43&lt;&gt;""),TRANSPOSE(COLUMN('כיתה ו4'!$F$7:$AE$7)^0))=0)))*8),0)</f>
        <v>0</v>
      </c>
      <c r="F22" s="21">
        <f t="array" ref="F22">IFERROR((SUMIF('כיתה ו5'!$C$7:$C$43,"&lt;&gt;",'כיתה ו5'!$S$7:$S$43)+SUMIF('כיתה ו5'!$C$7:$C$43,"&lt;&gt;",'כיתה ו5'!$T$7:$T$43)+SUMIF('כיתה ו5'!$C$7:$C$43,"&lt;&gt;",'כיתה ו5'!$U$7:$U$43)+SUMIF('כיתה ו5'!$C$7:$C$43,"&lt;&gt;",'כיתה ו5'!$V$7:$V$43))/((COUNTA('כיתה ו5'!$C$7:$C$43)-SUMPRODUCT(--('כיתה ו5'!$C$7:$C$43&lt;&gt;""),--(MMULT(--('כיתה ו5'!$F$7:$AE$43&lt;&gt;""),TRANSPOSE(COLUMN('כיתה ו5'!$F$7:$AE$7)^0))=0)))*8),0)</f>
        <v>0</v>
      </c>
      <c r="G22" s="21">
        <f t="array" ref="G22">IFERROR((SUMIF('כיתה ו1'!$C$7:$C$43,"&lt;&gt;",'כיתה ו1'!$S$7:$S$43)+SUMIF('כיתה ו1'!$C$7:$C$43,"&lt;&gt;",'כיתה ו1'!$T$7:$T$43)+SUMIF('כיתה ו1'!$C$7:$C$43,"&lt;&gt;",'כיתה ו1'!$U$7:$U$43)+SUMIF('כיתה ו1'!$C$7:$C$43,"&lt;&gt;",'כיתה ו1'!$V$7:$V$43)+SUMIF('כיתה ו2'!$C$7:$C$43,"&lt;&gt;",'כיתה ו2'!$S$7:$S$43)+SUMIF('כיתה ו2'!$C$7:$C$43,"&lt;&gt;",'כיתה ו2'!$T$7:$T$43)+SUMIF('כיתה ו2'!$C$7:$C$43,"&lt;&gt;",'כיתה ו2'!$U$7:$U$43)+SUMIF('כיתה ו2'!$C$7:$C$43,"&lt;&gt;",'כיתה ו2'!$V$7:$V$43)+SUMIF('כיתה ו3'!$C$7:$C$43,"&lt;&gt;",'כיתה ו3'!$S$7:$S$43)+SUMIF('כיתה ו3'!$C$7:$C$43,"&lt;&gt;",'כיתה ו3'!$T$7:$T$43)+SUMIF('כיתה ו3'!$C$7:$C$43,"&lt;&gt;",'כיתה ו3'!$U$7:$U$43)+SUMIF('כיתה ו3'!$C$7:$C$43,"&lt;&gt;",'כיתה ו3'!$V$7:$V$43)+SUMIF('כיתה ו4'!$C$7:$C$43,"&lt;&gt;",'כיתה ו4'!$S$7:$S$43)+SUMIF('כיתה ו4'!$C$7:$C$43,"&lt;&gt;",'כיתה ו4'!$T$7:$T$43)+SUMIF('כיתה ו4'!$C$7:$C$43,"&lt;&gt;",'כיתה ו4'!$U$7:$U$43)+SUMIF('כיתה ו4'!$C$7:$C$43,"&lt;&gt;",'כיתה ו4'!$V$7:$V$43)+SUMIF('כיתה ו5'!$C$7:$C$43,"&lt;&gt;",'כיתה ו5'!$S$7:$S$43)+SUMIF('כיתה ו5'!$C$7:$C$43,"&lt;&gt;",'כיתה ו5'!$T$7:$T$43)+SUMIF('כיתה ו5'!$C$7:$C$43,"&lt;&gt;",'כיתה ו5'!$U$7:$U$43)+SUMIF('כיתה ו5'!$C$7:$C$43,"&lt;&gt;",'כיתה ו5'!$V$7:$V$43))/(((COUNTA('כיתה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ו5'!$F$7:$AE$7)^0))=0))))*8),0)</f>
        <v>0</v>
      </c>
    </row>
    <row r="23" spans="1:7" ht="13.5" customHeight="1" x14ac:dyDescent="0.3">
      <c r="A23" s="21" t="s">
        <v>37</v>
      </c>
      <c r="B23" s="21">
        <f t="array" ref="B23">IFERROR((SUMIF('כיתה ו1'!$C$7:$C$43,"&lt;&gt;",'כיתה ו1'!$X$7:$X$43)+SUMIF('כיתה ו1'!$C$7:$C$43,"&lt;&gt;",'כיתה ו1'!$Z$7:$Z$43))/((COUNTA('כיתה ו1'!$C$7:$C$43)-SUMPRODUCT(--('כיתה ו1'!$C$7:$C$43&lt;&gt;""),--(MMULT(--('כיתה ו1'!$F$7:$AE$43&lt;&gt;""),TRANSPOSE(COLUMN('כיתה ו1'!$F$7:$AE$7)^0))=0)))*6),0)</f>
        <v>0</v>
      </c>
      <c r="C23" s="21">
        <f t="array" ref="C23">IFERROR((SUMIF('כיתה ו2'!$C$7:$C$43,"&lt;&gt;",'כיתה ו2'!$X$7:$X$43)+SUMIF('כיתה ו2'!$C$7:$C$43,"&lt;&gt;",'כיתה ו2'!$Z$7:$Z$43))/((COUNTA('כיתה ו2'!$C$7:$C$43)-SUMPRODUCT(--('כיתה ו2'!$C$7:$C$43&lt;&gt;""),--(MMULT(--('כיתה ו2'!$F$7:$AE$43&lt;&gt;""),TRANSPOSE(COLUMN('כיתה ו2'!$F$7:$AE$7)^0))=0)))*6),0)</f>
        <v>0</v>
      </c>
      <c r="D23" s="21">
        <f t="array" ref="D23">IFERROR((SUMIF('כיתה ו3'!$C$7:$C$43,"&lt;&gt;",'כיתה ו3'!$X$7:$X$43)+SUMIF('כיתה ו3'!$C$7:$C$43,"&lt;&gt;",'כיתה ו3'!$Z$7:$Z$43))/((COUNTA('כיתה ו3'!$C$7:$C$43)-SUMPRODUCT(--('כיתה ו3'!$C$7:$C$43&lt;&gt;""),--(MMULT(--('כיתה ו3'!$F$7:$AE$43&lt;&gt;""),TRANSPOSE(COLUMN('כיתה ו3'!$F$7:$AE$7)^0))=0)))*6),0)</f>
        <v>0</v>
      </c>
      <c r="E23" s="21">
        <f t="array" ref="E23">IFERROR((SUMIF('כיתה ו4'!$C$7:$C$43,"&lt;&gt;",'כיתה ו4'!$X$7:$X$43)+SUMIF('כיתה ו4'!$C$7:$C$43,"&lt;&gt;",'כיתה ו4'!$Z$7:$Z$43))/((COUNTA('כיתה ו4'!$C$7:$C$43)-SUMPRODUCT(--('כיתה ו4'!$C$7:$C$43&lt;&gt;""),--(MMULT(--('כיתה ו4'!$F$7:$AE$43&lt;&gt;""),TRANSPOSE(COLUMN('כיתה ו4'!$F$7:$AE$7)^0))=0)))*6),0)</f>
        <v>0</v>
      </c>
      <c r="F23" s="21">
        <f t="array" ref="F23">IFERROR((SUMIF('כיתה ו5'!$C$7:$C$43,"&lt;&gt;",'כיתה ו5'!$X$7:$X$43)+SUMIF('כיתה ו5'!$C$7:$C$43,"&lt;&gt;",'כיתה ו5'!$Z$7:$Z$43))/((COUNTA('כיתה ו5'!$C$7:$C$43)-SUMPRODUCT(--('כיתה ו5'!$C$7:$C$43&lt;&gt;""),--(MMULT(--('כיתה ו5'!$F$7:$AE$43&lt;&gt;""),TRANSPOSE(COLUMN('כיתה ו5'!$F$7:$AE$7)^0))=0)))*6),0)</f>
        <v>0</v>
      </c>
      <c r="G23" s="21">
        <f t="array" ref="G23">IFERROR((SUMIF('כיתה ו1'!$C$7:$C$43,"&lt;&gt;",'כיתה ו1'!$X$7:$X$43)+SUMIF('כיתה ו1'!$C$7:$C$43,"&lt;&gt;",'כיתה ו1'!$Z$7:$Z$43)+SUMIF('כיתה ו2'!$C$7:$C$43,"&lt;&gt;",'כיתה ו2'!$X$7:$X$43)+SUMIF('כיתה ו2'!$C$7:$C$43,"&lt;&gt;",'כיתה ו2'!$Z$7:$Z$43)+SUMIF('כיתה ו3'!$C$7:$C$43,"&lt;&gt;",'כיתה ו3'!$X$7:$X$43)+SUMIF('כיתה ו3'!$C$7:$C$43,"&lt;&gt;",'כיתה ו3'!$Z$7:$Z$43)+SUMIF('כיתה ו4'!$C$7:$C$43,"&lt;&gt;",'כיתה ו4'!$X$7:$X$43)+SUMIF('כיתה ו4'!$C$7:$C$43,"&lt;&gt;",'כיתה ו4'!$Z$7:$Z$43)+SUMIF('כיתה ו5'!$C$7:$C$43,"&lt;&gt;",'כיתה ו5'!$X$7:$X$43)+SUMIF('כיתה ו5'!$C$7:$C$43,"&lt;&gt;",'כיתה ו5'!$Z$7:$Z$43))/(((COUNTA('כיתה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ו5'!$F$7:$AE$7)^0))=0))))*6),0)</f>
        <v>0</v>
      </c>
    </row>
    <row r="24" spans="1:7" ht="13.5" customHeight="1" x14ac:dyDescent="0.3">
      <c r="A24" s="21" t="s">
        <v>9</v>
      </c>
      <c r="B24" s="21">
        <f t="array" ref="B24">IFERROR((SUMIF('כיתה ו1'!$C$7:$C$43,"&lt;&gt;",'כיתה ו1'!$AB$7:$AB$43)+SUMIF('כיתה ו1'!$C$7:$C$43,"&lt;&gt;",'כיתה ו1'!$AC$7:$AC$43))/((COUNTA('כיתה ו1'!$C$7:$C$43)-SUMPRODUCT(--('כיתה ו1'!$C$7:$C$43&lt;&gt;""),--(MMULT(--('כיתה ו1'!$F$7:$AE$43&lt;&gt;""),TRANSPOSE(COLUMN('כיתה ו1'!$F$7:$AE$7)^0))=0)))*10),0)</f>
        <v>0</v>
      </c>
      <c r="C24" s="21">
        <f t="array" ref="C24">IFERROR((SUMIF('כיתה ו2'!$C$7:$C$43,"&lt;&gt;",'כיתה ו2'!$AB$7:$AB$43)+SUMIF('כיתה ו2'!$C$7:$C$43,"&lt;&gt;",'כיתה ו2'!$AC$7:$AC$43))/((COUNTA('כיתה ו2'!$C$7:$C$43)-SUMPRODUCT(--('כיתה ו2'!$C$7:$C$43&lt;&gt;""),--(MMULT(--('כיתה ו2'!$F$7:$AE$43&lt;&gt;""),TRANSPOSE(COLUMN('כיתה ו2'!$F$7:$AE$7)^0))=0)))*10),0)</f>
        <v>0</v>
      </c>
      <c r="D24" s="21">
        <f t="array" ref="D24">IFERROR((SUMIF('כיתה ו3'!$C$7:$C$43,"&lt;&gt;",'כיתה ו3'!$AB$7:$AB$43)+SUMIF('כיתה ו3'!$C$7:$C$43,"&lt;&gt;",'כיתה ו3'!$AC$7:$AC$43))/((COUNTA('כיתה ו3'!$C$7:$C$43)-SUMPRODUCT(--('כיתה ו3'!$C$7:$C$43&lt;&gt;""),--(MMULT(--('כיתה ו3'!$F$7:$AE$43&lt;&gt;""),TRANSPOSE(COLUMN('כיתה ו3'!$F$7:$AE$7)^0))=0)))*10),0)</f>
        <v>0</v>
      </c>
      <c r="E24" s="21">
        <f t="array" ref="E24">IFERROR((SUMIF('כיתה ו4'!$C$7:$C$43,"&lt;&gt;",'כיתה ו4'!$AB$7:$AB$43)+SUMIF('כיתה ו4'!$C$7:$C$43,"&lt;&gt;",'כיתה ו4'!$AC$7:$AC$43))/((COUNTA('כיתה ו4'!$C$7:$C$43)-SUMPRODUCT(--('כיתה ו4'!$C$7:$C$43&lt;&gt;""),--(MMULT(--('כיתה ו4'!$F$7:$AE$43&lt;&gt;""),TRANSPOSE(COLUMN('כיתה ו4'!$F$7:$AE$7)^0))=0)))*10),0)</f>
        <v>0</v>
      </c>
      <c r="F24" s="21">
        <f t="array" ref="F24">IFERROR((SUMIF('כיתה ו5'!$C$7:$C$43,"&lt;&gt;",'כיתה ו5'!$AB$7:$AB$43)+SUMIF('כיתה ו5'!$C$7:$C$43,"&lt;&gt;",'כיתה ו5'!$AC$7:$AC$43))/((COUNTA('כיתה ו5'!$C$7:$C$43)-SUMPRODUCT(--('כיתה ו5'!$C$7:$C$43&lt;&gt;""),--(MMULT(--('כיתה ו5'!$F$7:$AE$43&lt;&gt;""),TRANSPOSE(COLUMN('כיתה ו5'!$F$7:$AE$7)^0))=0)))*10),0)</f>
        <v>0</v>
      </c>
      <c r="G24" s="21">
        <f t="array" ref="G24">IFERROR((SUMIF('כיתה ו1'!$C$7:$C$43,"&lt;&gt;",'כיתה ו1'!$AB$7:$AB$43)+SUMIF('כיתה ו1'!$C$7:$C$43,"&lt;&gt;",'כיתה ו1'!$AC$7:$AC$43)+SUMIF('כיתה ו2'!$C$7:$C$43,"&lt;&gt;",'כיתה ו2'!$AB$7:$AB$43)+SUMIF('כיתה ו2'!$C$7:$C$43,"&lt;&gt;",'כיתה ו2'!$AC$7:$AC$43)+SUMIF('כיתה ו3'!$C$7:$C$43,"&lt;&gt;",'כיתה ו3'!$AB$7:$AB$43)+SUMIF('כיתה ו3'!$C$7:$C$43,"&lt;&gt;",'כיתה ו3'!$AC$7:$AC$43)+SUMIF('כיתה ו4'!$C$7:$C$43,"&lt;&gt;",'כיתה ו4'!$AB$7:$AB$43)+SUMIF('כיתה ו4'!$C$7:$C$43,"&lt;&gt;",'כיתה ו4'!$AC$7:$AC$43)+SUMIF('כיתה ו5'!$C$7:$C$43,"&lt;&gt;",'כיתה ו5'!$AB$7:$AB$43)+SUMIF('כיתה ו5'!$C$7:$C$43,"&lt;&gt;",'כיתה ו5'!$AC$7:$AC$43))/(((COUNTA('כיתה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ו5'!$F$7:$AE$7)^0))=0))))*10),0)</f>
        <v>0</v>
      </c>
    </row>
    <row r="25" spans="1:7" ht="13.5" customHeight="1" x14ac:dyDescent="0.3">
      <c r="A25" s="21" t="s">
        <v>46</v>
      </c>
      <c r="B25" s="21">
        <f t="array" ref="B25">IFERROR((SUMIF('כיתה ו1'!$C$7:$C$43,"&lt;&gt;",'כיתה ו1'!$AD$7:$AD$43)+SUMIF('כיתה ו1'!$C$7:$C$43,"&lt;&gt;",'כיתה ו1'!$AE$7:$AE$43))/((COUNTA('כיתה ו1'!$C$7:$C$43)-SUMPRODUCT(--('כיתה ו1'!$C$7:$C$43&lt;&gt;""),--(MMULT(--('כיתה ו1'!$F$7:$AE$43&lt;&gt;""),TRANSPOSE(COLUMN('כיתה ו1'!$F$7:$AE$7)^0))=0)))*9),0)</f>
        <v>0</v>
      </c>
      <c r="C25" s="21">
        <f t="array" ref="C25">IFERROR((SUMIF('כיתה ו2'!$C$7:$C$43,"&lt;&gt;",'כיתה ו2'!$AD$7:$AD$43)+SUMIF('כיתה ו2'!$C$7:$C$43,"&lt;&gt;",'כיתה ו2'!$AE$7:$AE$43))/((COUNTA('כיתה ו2'!$C$7:$C$43)-SUMPRODUCT(--('כיתה ו2'!$C$7:$C$43&lt;&gt;""),--(MMULT(--('כיתה ו2'!$F$7:$AE$43&lt;&gt;""),TRANSPOSE(COLUMN('כיתה ו2'!$F$7:$AE$7)^0))=0)))*9),0)</f>
        <v>0</v>
      </c>
      <c r="D25" s="21">
        <f t="array" ref="D25">IFERROR((SUMIF('כיתה ו3'!$C$7:$C$43,"&lt;&gt;",'כיתה ו3'!$AD$7:$AD$43)+SUMIF('כיתה ו3'!$C$7:$C$43,"&lt;&gt;",'כיתה ו3'!$AE$7:$AE$43))/((COUNTA('כיתה ו3'!$C$7:$C$43)-SUMPRODUCT(--('כיתה ו3'!$C$7:$C$43&lt;&gt;""),--(MMULT(--('כיתה ו3'!$F$7:$AE$43&lt;&gt;""),TRANSPOSE(COLUMN('כיתה ו3'!$F$7:$AE$7)^0))=0)))*9),0)</f>
        <v>0</v>
      </c>
      <c r="E25" s="21">
        <f t="array" ref="E25">IFERROR((SUMIF('כיתה ו4'!$C$7:$C$43,"&lt;&gt;",'כיתה ו4'!$AD$7:$AD$43)+SUMIF('כיתה ו4'!$C$7:$C$43,"&lt;&gt;",'כיתה ו4'!$AE$7:$AE$43))/((COUNTA('כיתה ו4'!$C$7:$C$43)-SUMPRODUCT(--('כיתה ו4'!$C$7:$C$43&lt;&gt;""),--(MMULT(--('כיתה ו4'!$F$7:$AE$43&lt;&gt;""),TRANSPOSE(COLUMN('כיתה ו4'!$F$7:$AE$7)^0))=0)))*9),0)</f>
        <v>0</v>
      </c>
      <c r="F25" s="21">
        <f t="array" ref="F25">IFERROR((SUMIF('כיתה ו5'!$C$7:$C$43,"&lt;&gt;",'כיתה ו5'!$AD$7:$AD$43)+SUMIF('כיתה ו5'!$C$7:$C$43,"&lt;&gt;",'כיתה ו5'!$AE$7:$AE$43))/((COUNTA('כיתה ו5'!$C$7:$C$43)-SUMPRODUCT(--('כיתה ו5'!$C$7:$C$43&lt;&gt;""),--(MMULT(--('כיתה ו5'!$F$7:$AE$43&lt;&gt;""),TRANSPOSE(COLUMN('כיתה ו5'!$F$7:$AE$7)^0))=0)))*9),0)</f>
        <v>0</v>
      </c>
      <c r="G25" s="21">
        <f t="array" ref="G25">IFERROR((SUMIF('כיתה ו1'!$C$7:$C$43,"&lt;&gt;",'כיתה ו1'!$AD$7:$AD$43)+SUMIF('כיתה ו1'!$C$7:$C$43,"&lt;&gt;",'כיתה ו1'!$AE$7:$AE$43)+SUMIF('כיתה ו2'!$C$7:$C$43,"&lt;&gt;",'כיתה ו2'!$AD$7:$AD$43)+SUMIF('כיתה ו2'!$C$7:$C$43,"&lt;&gt;",'כיתה ו2'!$AE$7:$AE$43)+SUMIF('כיתה ו3'!$C$7:$C$43,"&lt;&gt;",'כיתה ו3'!$AD$7:$AD$43)+SUMIF('כיתה ו3'!$C$7:$C$43,"&lt;&gt;",'כיתה ו3'!$AE$7:$AE$43)+SUMIF('כיתה ו4'!$C$7:$C$43,"&lt;&gt;",'כיתה ו4'!$AD$7:$AD$43)+SUMIF('כיתה ו4'!$C$7:$C$43,"&lt;&gt;",'כיתה ו4'!$AE$7:$AE$43)+SUMIF('כיתה ו5'!$C$7:$C$43,"&lt;&gt;",'כיתה ו5'!$AD$7:$AD$43)+SUMIF('כיתה ו5'!$C$7:$C$43,"&lt;&gt;",'כיתה ו5'!$AE$7:$AE$43))/(((COUNTA('כיתה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ו5'!$F$7:$AE$7)^0))=0))))*9),0)</f>
        <v>0</v>
      </c>
    </row>
    <row r="26" spans="1:7" ht="13.5" customHeight="1" x14ac:dyDescent="0.3">
      <c r="A26" s="21" t="s">
        <v>33</v>
      </c>
      <c r="B26" s="21" t="s">
        <v>75</v>
      </c>
      <c r="C26" s="21" t="s">
        <v>76</v>
      </c>
      <c r="D26" s="21" t="s">
        <v>77</v>
      </c>
      <c r="E26" s="21" t="s">
        <v>78</v>
      </c>
      <c r="F26" s="21" t="s">
        <v>79</v>
      </c>
      <c r="G26" s="21" t="s">
        <v>0</v>
      </c>
    </row>
    <row r="27" spans="1:7" ht="13.5" customHeight="1" x14ac:dyDescent="0.3">
      <c r="A27" s="21" t="s">
        <v>4</v>
      </c>
      <c r="B27" s="21">
        <f t="array" ref="B27">IFERROR((SUMIF('כיתה ו1'!$C$7:$C$43,"&lt;&gt;",'כיתה ו1'!$F$7:$F$43)+SUMIF('כיתה ו1'!$C$7:$C$43,"&lt;&gt;",'כיתה ו1'!$G$7:$G$43)+SUMIF('כיתה ו1'!$C$7:$C$43,"&lt;&gt;",'כיתה ו1'!$H$7:$H$43)+SUMIF('כיתה ו1'!$C$7:$C$43,"&lt;&gt;",'כיתה ו1'!$I$7:$I$43)+SUMIF('כיתה ו1'!$C$7:$C$43,"&lt;&gt;",'כיתה ו1'!$J$7:$J$43)+SUMIF('כיתה ו1'!$C$7:$C$43,"&lt;&gt;",'כיתה ו1'!$N$7:$N$43)+SUMIF('כיתה ו1'!$C$7:$C$43,"&lt;&gt;",'כיתה ו1'!$O$7:$O$43)+SUMIF('כיתה ו1'!$C$7:$C$43,"&lt;&gt;",'כיתה ו1'!$P$7:$P$43)+SUMIF('כיתה ו1'!$C$7:$C$43,"&lt;&gt;",'כיתה ו1'!$Q$7:$Q$43)+SUMIF('כיתה ו1'!$C$7:$C$43,"&lt;&gt;",'כיתה ו1'!$Z$7:$Z$43)+SUMIF('כיתה ו1'!$C$7:$C$43,"&lt;&gt;",'כיתה ו1'!$AD$7:$AD$43))/((COUNTA('כיתה ו1'!$C$7:$C$43)-SUMPRODUCT(--('כיתה ו1'!$C$7:$C$43&lt;&gt;""),--(MMULT(--('כיתה ו1'!$F$7:$AE$43&lt;&gt;""),TRANSPOSE(COLUMN('כיתה ו1'!$F$7:$AE$7)^0))=0)))*43),0)</f>
        <v>0</v>
      </c>
      <c r="C27" s="21">
        <f t="array" ref="C27">IFERROR((SUMIF('כיתה ו2'!$C$7:$C$43,"&lt;&gt;",'כיתה ו2'!$F$7:$F$43)+SUMIF('כיתה ו2'!$C$7:$C$43,"&lt;&gt;",'כיתה ו2'!$G$7:$G$43)+SUMIF('כיתה ו2'!$C$7:$C$43,"&lt;&gt;",'כיתה ו2'!$H$7:$H$43)+SUMIF('כיתה ו2'!$C$7:$C$43,"&lt;&gt;",'כיתה ו2'!$I$7:$I$43)+SUMIF('כיתה ו2'!$C$7:$C$43,"&lt;&gt;",'כיתה ו2'!$J$7:$J$43)+SUMIF('כיתה ו2'!$C$7:$C$43,"&lt;&gt;",'כיתה ו2'!$N$7:$N$43)+SUMIF('כיתה ו2'!$C$7:$C$43,"&lt;&gt;",'כיתה ו2'!$O$7:$O$43)+SUMIF('כיתה ו2'!$C$7:$C$43,"&lt;&gt;",'כיתה ו2'!$P$7:$P$43)+SUMIF('כיתה ו2'!$C$7:$C$43,"&lt;&gt;",'כיתה ו2'!$Q$7:$Q$43)+SUMIF('כיתה ו2'!$C$7:$C$43,"&lt;&gt;",'כיתה ו2'!$Z$7:$Z$43)+SUMIF('כיתה ו2'!$C$7:$C$43,"&lt;&gt;",'כיתה ו2'!$AD$7:$AD$43))/((COUNTA('כיתה ו2'!$C$7:$C$43)-SUMPRODUCT(--('כיתה ו2'!$C$7:$C$43&lt;&gt;""),--(MMULT(--('כיתה ו2'!$F$7:$AE$43&lt;&gt;""),TRANSPOSE(COLUMN('כיתה ו2'!$F$7:$AE$7)^0))=0)))*43),0)</f>
        <v>0</v>
      </c>
      <c r="D27" s="21">
        <f t="array" ref="D27">IFERROR((SUMIF('כיתה ו3'!$C$7:$C$43,"&lt;&gt;",'כיתה ו3'!$F$7:$F$43)+SUMIF('כיתה ו3'!$C$7:$C$43,"&lt;&gt;",'כיתה ו3'!$G$7:$G$43)+SUMIF('כיתה ו3'!$C$7:$C$43,"&lt;&gt;",'כיתה ו3'!$H$7:$H$43)+SUMIF('כיתה ו3'!$C$7:$C$43,"&lt;&gt;",'כיתה ו3'!$I$7:$I$43)+SUMIF('כיתה ו3'!$C$7:$C$43,"&lt;&gt;",'כיתה ו3'!$J$7:$J$43)+SUMIF('כיתה ו3'!$C$7:$C$43,"&lt;&gt;",'כיתה ו3'!$N$7:$N$43)+SUMIF('כיתה ו3'!$C$7:$C$43,"&lt;&gt;",'כיתה ו3'!$O$7:$O$43)+SUMIF('כיתה ו3'!$C$7:$C$43,"&lt;&gt;",'כיתה ו3'!$P$7:$P$43)+SUMIF('כיתה ו3'!$C$7:$C$43,"&lt;&gt;",'כיתה ו3'!$Q$7:$Q$43)+SUMIF('כיתה ו3'!$C$7:$C$43,"&lt;&gt;",'כיתה ו3'!$Z$7:$Z$43)+SUMIF('כיתה ו3'!$C$7:$C$43,"&lt;&gt;",'כיתה ו3'!$AD$7:$AD$43))/((COUNTA('כיתה ו3'!$C$7:$C$43)-SUMPRODUCT(--('כיתה ו3'!$C$7:$C$43&lt;&gt;""),--(MMULT(--('כיתה ו3'!$F$7:$AE$43&lt;&gt;""),TRANSPOSE(COLUMN('כיתה ו3'!$F$7:$AE$7)^0))=0)))*43),0)</f>
        <v>0</v>
      </c>
      <c r="E27" s="21">
        <f t="array" ref="E27">IFERROR((SUMIF('כיתה ו4'!$C$7:$C$43,"&lt;&gt;",'כיתה ו4'!$F$7:$F$43)+SUMIF('כיתה ו4'!$C$7:$C$43,"&lt;&gt;",'כיתה ו4'!$G$7:$G$43)+SUMIF('כיתה ו4'!$C$7:$C$43,"&lt;&gt;",'כיתה ו4'!$H$7:$H$43)+SUMIF('כיתה ו4'!$C$7:$C$43,"&lt;&gt;",'כיתה ו4'!$I$7:$I$43)+SUMIF('כיתה ו4'!$C$7:$C$43,"&lt;&gt;",'כיתה ו4'!$J$7:$J$43)+SUMIF('כיתה ו4'!$C$7:$C$43,"&lt;&gt;",'כיתה ו4'!$N$7:$N$43)+SUMIF('כיתה ו4'!$C$7:$C$43,"&lt;&gt;",'כיתה ו4'!$O$7:$O$43)+SUMIF('כיתה ו4'!$C$7:$C$43,"&lt;&gt;",'כיתה ו4'!$P$7:$P$43)+SUMIF('כיתה ו4'!$C$7:$C$43,"&lt;&gt;",'כיתה ו4'!$Q$7:$Q$43)+SUMIF('כיתה ו4'!$C$7:$C$43,"&lt;&gt;",'כיתה ו4'!$Z$7:$Z$43)+SUMIF('כיתה ו4'!$C$7:$C$43,"&lt;&gt;",'כיתה ו4'!$AD$7:$AD$43))/((COUNTA('כיתה ו4'!$C$7:$C$43)-SUMPRODUCT(--('כיתה ו4'!$C$7:$C$43&lt;&gt;""),--(MMULT(--('כיתה ו4'!$F$7:$AE$43&lt;&gt;""),TRANSPOSE(COLUMN('כיתה ו4'!$F$7:$AE$7)^0))=0)))*43),0)</f>
        <v>0</v>
      </c>
      <c r="F27" s="21">
        <f t="array" ref="F27">IFERROR((SUMIF('כיתה ו5'!$C$7:$C$43,"&lt;&gt;",'כיתה ו5'!$F$7:$F$43)+SUMIF('כיתה ו5'!$C$7:$C$43,"&lt;&gt;",'כיתה ו5'!$G$7:$G$43)+SUMIF('כיתה ו5'!$C$7:$C$43,"&lt;&gt;",'כיתה ו5'!$H$7:$H$43)+SUMIF('כיתה ו5'!$C$7:$C$43,"&lt;&gt;",'כיתה ו5'!$I$7:$I$43)+SUMIF('כיתה ו5'!$C$7:$C$43,"&lt;&gt;",'כיתה ו5'!$J$7:$J$43)+SUMIF('כיתה ו5'!$C$7:$C$43,"&lt;&gt;",'כיתה ו5'!$N$7:$N$43)+SUMIF('כיתה ו5'!$C$7:$C$43,"&lt;&gt;",'כיתה ו5'!$O$7:$O$43)+SUMIF('כיתה ו5'!$C$7:$C$43,"&lt;&gt;",'כיתה ו5'!$P$7:$P$43)+SUMIF('כיתה ו5'!$C$7:$C$43,"&lt;&gt;",'כיתה ו5'!$Q$7:$Q$43)+SUMIF('כיתה ו5'!$C$7:$C$43,"&lt;&gt;",'כיתה ו5'!$Z$7:$Z$43)+SUMIF('כיתה ו5'!$C$7:$C$43,"&lt;&gt;",'כיתה ו5'!$AD$7:$AD$43))/((COUNTA('כיתה ו5'!$C$7:$C$43)-SUMPRODUCT(--('כיתה ו5'!$C$7:$C$43&lt;&gt;""),--(MMULT(--('כיתה ו5'!$F$7:$AE$43&lt;&gt;""),TRANSPOSE(COLUMN('כיתה ו5'!$F$7:$AE$7)^0))=0)))*43),0)</f>
        <v>0</v>
      </c>
      <c r="G27" s="21">
        <f t="array" ref="G27">IFERROR((SUMIF('כיתה ו1'!$C$7:$C$43,"&lt;&gt;",'כיתה ו1'!$F$7:$F$43)+SUMIF('כיתה ו1'!$C$7:$C$43,"&lt;&gt;",'כיתה ו1'!$G$7:$G$43)+SUMIF('כיתה ו1'!$C$7:$C$43,"&lt;&gt;",'כיתה ו1'!$H$7:$H$43)+SUMIF('כיתה ו1'!$C$7:$C$43,"&lt;&gt;",'כיתה ו1'!$I$7:$I$43)+SUMIF('כיתה ו1'!$C$7:$C$43,"&lt;&gt;",'כיתה ו1'!$J$7:$J$43)+SUMIF('כיתה ו1'!$C$7:$C$43,"&lt;&gt;",'כיתה ו1'!$N$7:$N$43)+SUMIF('כיתה ו1'!$C$7:$C$43,"&lt;&gt;",'כיתה ו1'!$O$7:$O$43)+SUMIF('כיתה ו1'!$C$7:$C$43,"&lt;&gt;",'כיתה ו1'!$P$7:$P$43)+SUMIF('כיתה ו1'!$C$7:$C$43,"&lt;&gt;",'כיתה ו1'!$Q$7:$Q$43)+SUMIF('כיתה ו1'!$C$7:$C$43,"&lt;&gt;",'כיתה ו1'!$Z$7:$Z$43)+SUMIF('כיתה ו1'!$C$7:$C$43,"&lt;&gt;",'כיתה ו1'!$AD$7:$AD$43)+SUMIF('כיתה ו2'!$C$7:$C$43,"&lt;&gt;",'כיתה ו2'!$F$7:$F$43)+SUMIF('כיתה ו2'!$C$7:$C$43,"&lt;&gt;",'כיתה ו2'!$G$7:$G$43)+SUMIF('כיתה ו2'!$C$7:$C$43,"&lt;&gt;",'כיתה ו2'!$H$7:$H$43)+SUMIF('כיתה ו2'!$C$7:$C$43,"&lt;&gt;",'כיתה ו2'!$I$7:$I$43)+SUMIF('כיתה ו2'!$C$7:$C$43,"&lt;&gt;",'כיתה ו2'!$J$7:$J$43)+SUMIF('כיתה ו2'!$C$7:$C$43,"&lt;&gt;",'כיתה ו2'!$N$7:$N$43)+SUMIF('כיתה ו2'!$C$7:$C$43,"&lt;&gt;",'כיתה ו2'!$O$7:$O$43)+SUMIF('כיתה ו2'!$C$7:$C$43,"&lt;&gt;",'כיתה ו2'!$P$7:$P$43)+SUMIF('כיתה ו2'!$C$7:$C$43,"&lt;&gt;",'כיתה ו2'!$Q$7:$Q$43)+SUMIF('כיתה ו2'!$C$7:$C$43,"&lt;&gt;",'כיתה ו2'!$Z$7:$Z$43)+SUMIF('כיתה ו2'!$C$7:$C$43,"&lt;&gt;",'כיתה ו2'!$AD$7:$AD$43)+SUMIF('כיתה ו3'!$C$7:$C$43,"&lt;&gt;",'כיתה ו3'!$F$7:$F$43)+SUMIF('כיתה ו3'!$C$7:$C$43,"&lt;&gt;",'כיתה ו3'!$G$7:$G$43)+SUMIF('כיתה ו3'!$C$7:$C$43,"&lt;&gt;",'כיתה ו3'!$H$7:$H$43)+SUMIF('כיתה ו3'!$C$7:$C$43,"&lt;&gt;",'כיתה ו3'!$I$7:$I$43)+SUMIF('כיתה ו3'!$C$7:$C$43,"&lt;&gt;",'כיתה ו3'!$J$7:$J$43)+SUMIF('כיתה ו3'!$C$7:$C$43,"&lt;&gt;",'כיתה ו3'!$N$7:$N$43)+SUMIF('כיתה ו3'!$C$7:$C$43,"&lt;&gt;",'כיתה ו3'!$O$7:$O$43)+SUMIF('כיתה ו3'!$C$7:$C$43,"&lt;&gt;",'כיתה ו3'!$P$7:$P$43)+SUMIF('כיתה ו3'!$C$7:$C$43,"&lt;&gt;",'כיתה ו3'!$Q$7:$Q$43)+SUMIF('כיתה ו3'!$C$7:$C$43,"&lt;&gt;",'כיתה ו3'!$Z$7:$Z$43)+SUMIF('כיתה ו3'!$C$7:$C$43,"&lt;&gt;",'כיתה ו3'!$AD$7:$AD$43)+SUMIF('כיתה ו4'!$C$7:$C$43,"&lt;&gt;",'כיתה ו4'!$F$7:$F$43)+SUMIF('כיתה ו4'!$C$7:$C$43,"&lt;&gt;",'כיתה ו4'!$G$7:$G$43)+SUMIF('כיתה ו4'!$C$7:$C$43,"&lt;&gt;",'כיתה ו4'!$H$7:$H$43)+SUMIF('כיתה ו4'!$C$7:$C$43,"&lt;&gt;",'כיתה ו4'!$I$7:$I$43)+SUMIF('כיתה ו4'!$C$7:$C$43,"&lt;&gt;",'כיתה ו4'!$J$7:$J$43)+SUMIF('כיתה ו4'!$C$7:$C$43,"&lt;&gt;",'כיתה ו4'!$N$7:$N$43)+SUMIF('כיתה ו4'!$C$7:$C$43,"&lt;&gt;",'כיתה ו4'!$O$7:$O$43)+SUMIF('כיתה ו4'!$C$7:$C$43,"&lt;&gt;",'כיתה ו4'!$P$7:$P$43)+SUMIF('כיתה ו4'!$C$7:$C$43,"&lt;&gt;",'כיתה ו4'!$Q$7:$Q$43)+SUMIF('כיתה ו4'!$C$7:$C$43,"&lt;&gt;",'כיתה ו4'!$Z$7:$Z$43)+SUMIF('כיתה ו4'!$C$7:$C$43,"&lt;&gt;",'כיתה ו4'!$AD$7:$AD$43)+SUMIF('כיתה ו5'!$C$7:$C$43,"&lt;&gt;",'כיתה ו5'!$F$7:$F$43)+SUMIF('כיתה ו5'!$C$7:$C$43,"&lt;&gt;",'כיתה ו5'!$G$7:$G$43)+SUMIF('כיתה ו5'!$C$7:$C$43,"&lt;&gt;",'כיתה ו5'!$H$7:$H$43)+SUMIF('כיתה ו5'!$C$7:$C$43,"&lt;&gt;",'כיתה ו5'!$I$7:$I$43)+SUMIF('כיתה ו5'!$C$7:$C$43,"&lt;&gt;",'כיתה ו5'!$J$7:$J$43)+SUMIF('כיתה ו5'!$C$7:$C$43,"&lt;&gt;",'כיתה ו5'!$N$7:$N$43)+SUMIF('כיתה ו5'!$C$7:$C$43,"&lt;&gt;",'כיתה ו5'!$O$7:$O$43)+SUMIF('כיתה ו5'!$C$7:$C$43,"&lt;&gt;",'כיתה ו5'!$P$7:$P$43)+SUMIF('כיתה ו5'!$C$7:$C$43,"&lt;&gt;",'כיתה ו5'!$Q$7:$Q$43)+SUMIF('כיתה ו5'!$C$7:$C$43,"&lt;&gt;",'כיתה ו5'!$Z$7:$Z$43)+SUMIF('כיתה ו5'!$C$7:$C$43,"&lt;&gt;",'כיתה ו5'!$AD$7:$AD$43))/(((COUNTA('כיתה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ו5'!$F$7:$AE$7)^0))=0))))*43),0)</f>
        <v>0</v>
      </c>
    </row>
    <row r="28" spans="1:7" ht="13.5" customHeight="1" x14ac:dyDescent="0.3">
      <c r="A28" s="21" t="s">
        <v>7</v>
      </c>
      <c r="B28" s="21">
        <f t="array" ref="B28">IFERROR((SUMIF('כיתה ו1'!$C$7:$C$43,"&lt;&gt;",'כיתה ו1'!$K$7:$K$43)+SUMIF('כיתה ו1'!$C$7:$C$43,"&lt;&gt;",'כיתה ו1'!$L$7:$L$43)+SUMIF('כיתה ו1'!$C$7:$C$43,"&lt;&gt;",'כיתה ו1'!$M$7:$M$43)+SUMIF('כיתה ו1'!$C$7:$C$43,"&lt;&gt;",'כיתה ו1'!$R$7:$R$43)+SUMIF('כיתה ו1'!$C$7:$C$43,"&lt;&gt;",'כיתה ו1'!$V$7:$V$43)+SUMIF('כיתה ו1'!$C$7:$C$43,"&lt;&gt;",'כיתה ו1'!$AA$7:$AA$43)+SUMIF('כיתה ו1'!$C$7:$C$43,"&lt;&gt;",'כיתה ו1'!$AE$7:$AE$43))/((COUNTA('כיתה ו1'!$C$7:$C$43)-SUMPRODUCT(--('כיתה ו1'!$C$7:$C$43&lt;&gt;""),--(MMULT(--('כיתה ו1'!$F$7:$AE$43&lt;&gt;""),TRANSPOSE(COLUMN('כיתה ו1'!$F$7:$AE$7)^0))=0)))*28),0)</f>
        <v>0</v>
      </c>
      <c r="C28" s="21">
        <f t="array" ref="C28">IFERROR((SUMIF('כיתה ו2'!$C$7:$C$43,"&lt;&gt;",'כיתה ו2'!$K$7:$K$43)+SUMIF('כיתה ו2'!$C$7:$C$43,"&lt;&gt;",'כיתה ו2'!$L$7:$L$43)+SUMIF('כיתה ו2'!$C$7:$C$43,"&lt;&gt;",'כיתה ו2'!$M$7:$M$43)+SUMIF('כיתה ו2'!$C$7:$C$43,"&lt;&gt;",'כיתה ו2'!$R$7:$R$43)+SUMIF('כיתה ו2'!$C$7:$C$43,"&lt;&gt;",'כיתה ו2'!$V$7:$V$43)+SUMIF('כיתה ו2'!$C$7:$C$43,"&lt;&gt;",'כיתה ו2'!$AA$7:$AA$43)+SUMIF('כיתה ו2'!$C$7:$C$43,"&lt;&gt;",'כיתה ו2'!$AE$7:$AE$43))/((COUNTA('כיתה ו2'!$C$7:$C$43)-SUMPRODUCT(--('כיתה ו2'!$C$7:$C$43&lt;&gt;""),--(MMULT(--('כיתה ו2'!$F$7:$AE$43&lt;&gt;""),TRANSPOSE(COLUMN('כיתה ו2'!$F$7:$AE$7)^0))=0)))*28),0)</f>
        <v>0</v>
      </c>
      <c r="D28" s="21">
        <f t="array" ref="D28">IFERROR((SUMIF('כיתה ו3'!$C$7:$C$43,"&lt;&gt;",'כיתה ו3'!$K$7:$K$43)+SUMIF('כיתה ו3'!$C$7:$C$43,"&lt;&gt;",'כיתה ו3'!$L$7:$L$43)+SUMIF('כיתה ו3'!$C$7:$C$43,"&lt;&gt;",'כיתה ו3'!$M$7:$M$43)+SUMIF('כיתה ו3'!$C$7:$C$43,"&lt;&gt;",'כיתה ו3'!$R$7:$R$43)+SUMIF('כיתה ו3'!$C$7:$C$43,"&lt;&gt;",'כיתה ו3'!$V$7:$V$43)+SUMIF('כיתה ו3'!$C$7:$C$43,"&lt;&gt;",'כיתה ו3'!$AA$7:$AA$43)+SUMIF('כיתה ו3'!$C$7:$C$43,"&lt;&gt;",'כיתה ו3'!$AE$7:$AE$43))/((COUNTA('כיתה ו3'!$C$7:$C$43)-SUMPRODUCT(--('כיתה ו3'!$C$7:$C$43&lt;&gt;""),--(MMULT(--('כיתה ו3'!$F$7:$AE$43&lt;&gt;""),TRANSPOSE(COLUMN('כיתה ו3'!$F$7:$AE$7)^0))=0)))*28),0)</f>
        <v>0</v>
      </c>
      <c r="E28" s="21">
        <f t="array" ref="E28">IFERROR((SUMIF('כיתה ו4'!$C$7:$C$43,"&lt;&gt;",'כיתה ו4'!$K$7:$K$43)+SUMIF('כיתה ו4'!$C$7:$C$43,"&lt;&gt;",'כיתה ו4'!$L$7:$L$43)+SUMIF('כיתה ו4'!$C$7:$C$43,"&lt;&gt;",'כיתה ו4'!$M$7:$M$43)+SUMIF('כיתה ו4'!$C$7:$C$43,"&lt;&gt;",'כיתה ו4'!$R$7:$R$43)+SUMIF('כיתה ו4'!$C$7:$C$43,"&lt;&gt;",'כיתה ו4'!$V$7:$V$43)+SUMIF('כיתה ו4'!$C$7:$C$43,"&lt;&gt;",'כיתה ו4'!$AA$7:$AA$43)+SUMIF('כיתה ו4'!$C$7:$C$43,"&lt;&gt;",'כיתה ו4'!$AE$7:$AE$43))/((COUNTA('כיתה ו4'!$C$7:$C$43)-SUMPRODUCT(--('כיתה ו4'!$C$7:$C$43&lt;&gt;""),--(MMULT(--('כיתה ו4'!$F$7:$AE$43&lt;&gt;""),TRANSPOSE(COLUMN('כיתה ו4'!$F$7:$AE$7)^0))=0)))*28),0)</f>
        <v>0</v>
      </c>
      <c r="F28" s="21">
        <f t="array" ref="F28">IFERROR((SUMIF('כיתה ו5'!$C$7:$C$43,"&lt;&gt;",'כיתה ו5'!$K$7:$K$43)+SUMIF('כיתה ו5'!$C$7:$C$43,"&lt;&gt;",'כיתה ו5'!$L$7:$L$43)+SUMIF('כיתה ו5'!$C$7:$C$43,"&lt;&gt;",'כיתה ו5'!$M$7:$M$43)+SUMIF('כיתה ו5'!$C$7:$C$43,"&lt;&gt;",'כיתה ו5'!$R$7:$R$43)+SUMIF('כיתה ו5'!$C$7:$C$43,"&lt;&gt;",'כיתה ו5'!$V$7:$V$43)+SUMIF('כיתה ו5'!$C$7:$C$43,"&lt;&gt;",'כיתה ו5'!$AA$7:$AA$43)+SUMIF('כיתה ו5'!$C$7:$C$43,"&lt;&gt;",'כיתה ו5'!$AE$7:$AE$43))/((COUNTA('כיתה ו5'!$C$7:$C$43)-SUMPRODUCT(--('כיתה ו5'!$C$7:$C$43&lt;&gt;""),--(MMULT(--('כיתה ו5'!$F$7:$AE$43&lt;&gt;""),TRANSPOSE(COLUMN('כיתה ו5'!$F$7:$AE$7)^0))=0)))*28),0)</f>
        <v>0</v>
      </c>
      <c r="G28" s="21">
        <f t="array" ref="G28">IFERROR((SUMIF('כיתה ו1'!$C$7:$C$43,"&lt;&gt;",'כיתה ו1'!$K$7:$K$43)+SUMIF('כיתה ו1'!$C$7:$C$43,"&lt;&gt;",'כיתה ו1'!$L$7:$L$43)+SUMIF('כיתה ו1'!$C$7:$C$43,"&lt;&gt;",'כיתה ו1'!$M$7:$M$43)+SUMIF('כיתה ו1'!$C$7:$C$43,"&lt;&gt;",'כיתה ו1'!$R$7:$R$43)+SUMIF('כיתה ו1'!$C$7:$C$43,"&lt;&gt;",'כיתה ו1'!$V$7:$V$43)+SUMIF('כיתה ו1'!$C$7:$C$43,"&lt;&gt;",'כיתה ו1'!$AA$7:$AA$43)+SUMIF('כיתה ו1'!$C$7:$C$43,"&lt;&gt;",'כיתה ו1'!$AE$7:$AE$43)+SUMIF('כיתה ו2'!$C$7:$C$43,"&lt;&gt;",'כיתה ו2'!$K$7:$K$43)+SUMIF('כיתה ו2'!$C$7:$C$43,"&lt;&gt;",'כיתה ו2'!$L$7:$L$43)+SUMIF('כיתה ו2'!$C$7:$C$43,"&lt;&gt;",'כיתה ו2'!$M$7:$M$43)+SUMIF('כיתה ו2'!$C$7:$C$43,"&lt;&gt;",'כיתה ו2'!$R$7:$R$43)+SUMIF('כיתה ו2'!$C$7:$C$43,"&lt;&gt;",'כיתה ו2'!$V$7:$V$43)+SUMIF('כיתה ו2'!$C$7:$C$43,"&lt;&gt;",'כיתה ו2'!$AA$7:$AA$43)+SUMIF('כיתה ו2'!$C$7:$C$43,"&lt;&gt;",'כיתה ו2'!$AE$7:$AE$43)+SUMIF('כיתה ו3'!$C$7:$C$43,"&lt;&gt;",'כיתה ו3'!$K$7:$K$43)+SUMIF('כיתה ו3'!$C$7:$C$43,"&lt;&gt;",'כיתה ו3'!$L$7:$L$43)+SUMIF('כיתה ו3'!$C$7:$C$43,"&lt;&gt;",'כיתה ו3'!$M$7:$M$43)+SUMIF('כיתה ו3'!$C$7:$C$43,"&lt;&gt;",'כיתה ו3'!$R$7:$R$43)+SUMIF('כיתה ו3'!$C$7:$C$43,"&lt;&gt;",'כיתה ו3'!$V$7:$V$43)+SUMIF('כיתה ו3'!$C$7:$C$43,"&lt;&gt;",'כיתה ו3'!$AA$7:$AA$43)+SUMIF('כיתה ו3'!$C$7:$C$43,"&lt;&gt;",'כיתה ו3'!$AE$7:$AE$43)+SUMIF('כיתה ו4'!$C$7:$C$43,"&lt;&gt;",'כיתה ו4'!$K$7:$K$43)+SUMIF('כיתה ו4'!$C$7:$C$43,"&lt;&gt;",'כיתה ו4'!$L$7:$L$43)+SUMIF('כיתה ו4'!$C$7:$C$43,"&lt;&gt;",'כיתה ו4'!$M$7:$M$43)+SUMIF('כיתה ו4'!$C$7:$C$43,"&lt;&gt;",'כיתה ו4'!$R$7:$R$43)+SUMIF('כיתה ו4'!$C$7:$C$43,"&lt;&gt;",'כיתה ו4'!$V$7:$V$43)+SUMIF('כיתה ו4'!$C$7:$C$43,"&lt;&gt;",'כיתה ו4'!$AA$7:$AA$43)+SUMIF('כיתה ו4'!$C$7:$C$43,"&lt;&gt;",'כיתה ו4'!$AE$7:$AE$43)+SUMIF('כיתה ו5'!$C$7:$C$43,"&lt;&gt;",'כיתה ו5'!$K$7:$K$43)+SUMIF('כיתה ו5'!$C$7:$C$43,"&lt;&gt;",'כיתה ו5'!$L$7:$L$43)+SUMIF('כיתה ו5'!$C$7:$C$43,"&lt;&gt;",'כיתה ו5'!$M$7:$M$43)+SUMIF('כיתה ו5'!$C$7:$C$43,"&lt;&gt;",'כיתה ו5'!$R$7:$R$43)+SUMIF('כיתה ו5'!$C$7:$C$43,"&lt;&gt;",'כיתה ו5'!$V$7:$V$43)+SUMIF('כיתה ו5'!$C$7:$C$43,"&lt;&gt;",'כיתה ו5'!$AA$7:$AA$43)+SUMIF('כיתה ו5'!$C$7:$C$43,"&lt;&gt;",'כיתה ו5'!$AE$7:$AE$43))/(((COUNTA('כיתה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ו5'!$F$7:$AE$7)^0))=0))))*28),0)</f>
        <v>0</v>
      </c>
    </row>
    <row r="29" spans="1:7" ht="13.5" customHeight="1" x14ac:dyDescent="0.3">
      <c r="A29" s="21" t="s">
        <v>3</v>
      </c>
      <c r="B29" s="21">
        <f t="array" ref="B29">IFERROR((SUMIF('כיתה ו1'!$C$7:$C$43,"&lt;&gt;",'כיתה ו1'!$S$7:$S$43)+SUMIF('כיתה ו1'!$C$7:$C$43,"&lt;&gt;",'כיתה ו1'!$T$7:$T$43)+SUMIF('כיתה ו1'!$C$7:$C$43,"&lt;&gt;",'כיתה ו1'!$U$7:$U$43)+SUMIF('כיתה ו1'!$C$7:$C$43,"&lt;&gt;",'כיתה ו1'!$W$7:$W$43)+SUMIF('כיתה ו1'!$C$7:$C$43,"&lt;&gt;",'כיתה ו1'!$X$7:$X$43)+SUMIF('כיתה ו1'!$C$7:$C$43,"&lt;&gt;",'כיתה ו1'!$Y$7:$Y$43)+SUMIF('כיתה ו1'!$C$7:$C$43,"&lt;&gt;",'כיתה ו1'!$AB$7:$AB$43)+SUMIF('כיתה ו1'!$C$7:$C$43,"&lt;&gt;",'כיתה ו1'!$AC$7:$AC$43))/((COUNTA('כיתה ו1'!$C$7:$C$43)-SUMPRODUCT(--('כיתה ו1'!$C$7:$C$43&lt;&gt;""),--(MMULT(--('כיתה ו1'!$F$7:$AE$43&lt;&gt;""),TRANSPOSE(COLUMN('כיתה ו1'!$F$7:$AE$7)^0))=0)))*29),0)</f>
        <v>0</v>
      </c>
      <c r="C29" s="21">
        <f t="array" ref="C29">IFERROR((SUMIF('כיתה ו2'!$C$7:$C$43,"&lt;&gt;",'כיתה ו2'!$S$7:$S$43)+SUMIF('כיתה ו2'!$C$7:$C$43,"&lt;&gt;",'כיתה ו2'!$T$7:$T$43)+SUMIF('כיתה ו2'!$C$7:$C$43,"&lt;&gt;",'כיתה ו2'!$U$7:$U$43)+SUMIF('כיתה ו2'!$C$7:$C$43,"&lt;&gt;",'כיתה ו2'!$W$7:$W$43)+SUMIF('כיתה ו2'!$C$7:$C$43,"&lt;&gt;",'כיתה ו2'!$X$7:$X$43)+SUMIF('כיתה ו2'!$C$7:$C$43,"&lt;&gt;",'כיתה ו2'!$Y$7:$Y$43)+SUMIF('כיתה ו2'!$C$7:$C$43,"&lt;&gt;",'כיתה ו2'!$AB$7:$AB$43)+SUMIF('כיתה ו2'!$C$7:$C$43,"&lt;&gt;",'כיתה ו2'!$AC$7:$AC$43))/((COUNTA('כיתה ו2'!$C$7:$C$43)-SUMPRODUCT(--('כיתה ו2'!$C$7:$C$43&lt;&gt;""),--(MMULT(--('כיתה ו2'!$F$7:$AE$43&lt;&gt;""),TRANSPOSE(COLUMN('כיתה ו2'!$F$7:$AE$7)^0))=0)))*29),0)</f>
        <v>0</v>
      </c>
      <c r="D29" s="21">
        <f t="array" ref="D29">IFERROR((SUMIF('כיתה ו3'!$C$7:$C$43,"&lt;&gt;",'כיתה ו3'!$S$7:$S$43)+SUMIF('כיתה ו3'!$C$7:$C$43,"&lt;&gt;",'כיתה ו3'!$T$7:$T$43)+SUMIF('כיתה ו3'!$C$7:$C$43,"&lt;&gt;",'כיתה ו3'!$U$7:$U$43)+SUMIF('כיתה ו3'!$C$7:$C$43,"&lt;&gt;",'כיתה ו3'!$W$7:$W$43)+SUMIF('כיתה ו3'!$C$7:$C$43,"&lt;&gt;",'כיתה ו3'!$X$7:$X$43)+SUMIF('כיתה ו3'!$C$7:$C$43,"&lt;&gt;",'כיתה ו3'!$Y$7:$Y$43)+SUMIF('כיתה ו3'!$C$7:$C$43,"&lt;&gt;",'כיתה ו3'!$AB$7:$AB$43)+SUMIF('כיתה ו3'!$C$7:$C$43,"&lt;&gt;",'כיתה ו3'!$AC$7:$AC$43))/((COUNTA('כיתה ו3'!$C$7:$C$43)-SUMPRODUCT(--('כיתה ו3'!$C$7:$C$43&lt;&gt;""),--(MMULT(--('כיתה ו3'!$F$7:$AE$43&lt;&gt;""),TRANSPOSE(COLUMN('כיתה ו3'!$F$7:$AE$7)^0))=0)))*29),0)</f>
        <v>0</v>
      </c>
      <c r="E29" s="21">
        <f t="array" ref="E29">IFERROR((SUMIF('כיתה ו4'!$C$7:$C$43,"&lt;&gt;",'כיתה ו4'!$S$7:$S$43)+SUMIF('כיתה ו4'!$C$7:$C$43,"&lt;&gt;",'כיתה ו4'!$T$7:$T$43)+SUMIF('כיתה ו4'!$C$7:$C$43,"&lt;&gt;",'כיתה ו4'!$U$7:$U$43)+SUMIF('כיתה ו4'!$C$7:$C$43,"&lt;&gt;",'כיתה ו4'!$W$7:$W$43)+SUMIF('כיתה ו4'!$C$7:$C$43,"&lt;&gt;",'כיתה ו4'!$X$7:$X$43)+SUMIF('כיתה ו4'!$C$7:$C$43,"&lt;&gt;",'כיתה ו4'!$Y$7:$Y$43)+SUMIF('כיתה ו4'!$C$7:$C$43,"&lt;&gt;",'כיתה ו4'!$AB$7:$AB$43)+SUMIF('כיתה ו4'!$C$7:$C$43,"&lt;&gt;",'כיתה ו4'!$AC$7:$AC$43))/((COUNTA('כיתה ו4'!$C$7:$C$43)-SUMPRODUCT(--('כיתה ו4'!$C$7:$C$43&lt;&gt;""),--(MMULT(--('כיתה ו4'!$F$7:$AE$43&lt;&gt;""),TRANSPOSE(COLUMN('כיתה ו4'!$F$7:$AE$7)^0))=0)))*29),0)</f>
        <v>0</v>
      </c>
      <c r="F29" s="21">
        <f t="array" ref="F29">IFERROR((SUMIF('כיתה ו5'!$C$7:$C$43,"&lt;&gt;",'כיתה ו5'!$S$7:$S$43)+SUMIF('כיתה ו5'!$C$7:$C$43,"&lt;&gt;",'כיתה ו5'!$T$7:$T$43)+SUMIF('כיתה ו5'!$C$7:$C$43,"&lt;&gt;",'כיתה ו5'!$U$7:$U$43)+SUMIF('כיתה ו5'!$C$7:$C$43,"&lt;&gt;",'כיתה ו5'!$W$7:$W$43)+SUMIF('כיתה ו5'!$C$7:$C$43,"&lt;&gt;",'כיתה ו5'!$X$7:$X$43)+SUMIF('כיתה ו5'!$C$7:$C$43,"&lt;&gt;",'כיתה ו5'!$Y$7:$Y$43)+SUMIF('כיתה ו5'!$C$7:$C$43,"&lt;&gt;",'כיתה ו5'!$AB$7:$AB$43)+SUMIF('כיתה ו5'!$C$7:$C$43,"&lt;&gt;",'כיתה ו5'!$AC$7:$AC$43))/((COUNTA('כיתה ו5'!$C$7:$C$43)-SUMPRODUCT(--('כיתה ו5'!$C$7:$C$43&lt;&gt;""),--(MMULT(--('כיתה ו5'!$F$7:$AE$43&lt;&gt;""),TRANSPOSE(COLUMN('כיתה ו5'!$F$7:$AE$7)^0))=0)))*29),0)</f>
        <v>0</v>
      </c>
      <c r="G29" s="21">
        <f t="array" ref="G29">IFERROR((SUMIF('כיתה ו1'!$C$7:$C$43,"&lt;&gt;",'כיתה ו1'!$S$7:$S$43)+SUMIF('כיתה ו1'!$C$7:$C$43,"&lt;&gt;",'כיתה ו1'!$T$7:$T$43)+SUMIF('כיתה ו1'!$C$7:$C$43,"&lt;&gt;",'כיתה ו1'!$U$7:$U$43)+SUMIF('כיתה ו1'!$C$7:$C$43,"&lt;&gt;",'כיתה ו1'!$W$7:$W$43)+SUMIF('כיתה ו1'!$C$7:$C$43,"&lt;&gt;",'כיתה ו1'!$X$7:$X$43)+SUMIF('כיתה ו1'!$C$7:$C$43,"&lt;&gt;",'כיתה ו1'!$Y$7:$Y$43)+SUMIF('כיתה ו1'!$C$7:$C$43,"&lt;&gt;",'כיתה ו1'!$AB$7:$AB$43)+SUMIF('כיתה ו1'!$C$7:$C$43,"&lt;&gt;",'כיתה ו1'!$AC$7:$AC$43)+SUMIF('כיתה ו2'!$C$7:$C$43,"&lt;&gt;",'כיתה ו2'!$S$7:$S$43)+SUMIF('כיתה ו2'!$C$7:$C$43,"&lt;&gt;",'כיתה ו2'!$T$7:$T$43)+SUMIF('כיתה ו2'!$C$7:$C$43,"&lt;&gt;",'כיתה ו2'!$U$7:$U$43)+SUMIF('כיתה ו2'!$C$7:$C$43,"&lt;&gt;",'כיתה ו2'!$W$7:$W$43)+SUMIF('כיתה ו2'!$C$7:$C$43,"&lt;&gt;",'כיתה ו2'!$X$7:$X$43)+SUMIF('כיתה ו2'!$C$7:$C$43,"&lt;&gt;",'כיתה ו2'!$Y$7:$Y$43)+SUMIF('כיתה ו2'!$C$7:$C$43,"&lt;&gt;",'כיתה ו2'!$AB$7:$AB$43)+SUMIF('כיתה ו2'!$C$7:$C$43,"&lt;&gt;",'כיתה ו2'!$AC$7:$AC$43)+SUMIF('כיתה ו3'!$C$7:$C$43,"&lt;&gt;",'כיתה ו3'!$S$7:$S$43)+SUMIF('כיתה ו3'!$C$7:$C$43,"&lt;&gt;",'כיתה ו3'!$T$7:$T$43)+SUMIF('כיתה ו3'!$C$7:$C$43,"&lt;&gt;",'כיתה ו3'!$U$7:$U$43)+SUMIF('כיתה ו3'!$C$7:$C$43,"&lt;&gt;",'כיתה ו3'!$W$7:$W$43)+SUMIF('כיתה ו3'!$C$7:$C$43,"&lt;&gt;",'כיתה ו3'!$X$7:$X$43)+SUMIF('כיתה ו3'!$C$7:$C$43,"&lt;&gt;",'כיתה ו3'!$Y$7:$Y$43)+SUMIF('כיתה ו3'!$C$7:$C$43,"&lt;&gt;",'כיתה ו3'!$AB$7:$AB$43)+SUMIF('כיתה ו3'!$C$7:$C$43,"&lt;&gt;",'כיתה ו3'!$AC$7:$AC$43)+SUMIF('כיתה ו4'!$C$7:$C$43,"&lt;&gt;",'כיתה ו4'!$S$7:$S$43)+SUMIF('כיתה ו4'!$C$7:$C$43,"&lt;&gt;",'כיתה ו4'!$T$7:$T$43)+SUMIF('כיתה ו4'!$C$7:$C$43,"&lt;&gt;",'כיתה ו4'!$U$7:$U$43)+SUMIF('כיתה ו4'!$C$7:$C$43,"&lt;&gt;",'כיתה ו4'!$W$7:$W$43)+SUMIF('כיתה ו4'!$C$7:$C$43,"&lt;&gt;",'כיתה ו4'!$X$7:$X$43)+SUMIF('כיתה ו4'!$C$7:$C$43,"&lt;&gt;",'כיתה ו4'!$Y$7:$Y$43)+SUMIF('כיתה ו4'!$C$7:$C$43,"&lt;&gt;",'כיתה ו4'!$AB$7:$AB$43)+SUMIF('כיתה ו4'!$C$7:$C$43,"&lt;&gt;",'כיתה ו4'!$AC$7:$AC$43)+SUMIF('כיתה ו5'!$C$7:$C$43,"&lt;&gt;",'כיתה ו5'!$S$7:$S$43)+SUMIF('כיתה ו5'!$C$7:$C$43,"&lt;&gt;",'כיתה ו5'!$T$7:$T$43)+SUMIF('כיתה ו5'!$C$7:$C$43,"&lt;&gt;",'כיתה ו5'!$U$7:$U$43)+SUMIF('כיתה ו5'!$C$7:$C$43,"&lt;&gt;",'כיתה ו5'!$W$7:$W$43)+SUMIF('כיתה ו5'!$C$7:$C$43,"&lt;&gt;",'כיתה ו5'!$X$7:$X$43)+SUMIF('כיתה ו5'!$C$7:$C$43,"&lt;&gt;",'כיתה ו5'!$Y$7:$Y$43)+SUMIF('כיתה ו5'!$C$7:$C$43,"&lt;&gt;",'כיתה ו5'!$AB$7:$AB$43)+SUMIF('כיתה ו5'!$C$7:$C$43,"&lt;&gt;",'כיתה ו5'!$AC$7:$AC$43))/(((COUNTA('כיתה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ו5'!$F$7:$AE$7)^0))=0))))*29),0)</f>
        <v>0</v>
      </c>
    </row>
    <row r="30" spans="1:7" ht="13.5" customHeight="1" x14ac:dyDescent="0.3"/>
    <row r="31" spans="1:7" ht="13.5" customHeight="1" x14ac:dyDescent="0.3"/>
    <row r="32" spans="1:7" ht="13.5" customHeight="1" x14ac:dyDescent="0.3"/>
    <row r="33" spans="1:7" ht="13.5" customHeight="1" x14ac:dyDescent="0.3">
      <c r="A33" s="21" t="s">
        <v>63</v>
      </c>
      <c r="B33" s="21" t="s">
        <v>64</v>
      </c>
      <c r="C33" s="21" t="s">
        <v>65</v>
      </c>
      <c r="E33" s="21" t="s">
        <v>63</v>
      </c>
      <c r="F33" s="21" t="s">
        <v>64</v>
      </c>
      <c r="G33" s="21" t="s">
        <v>65</v>
      </c>
    </row>
    <row r="34" spans="1:7" ht="13.5" customHeight="1" x14ac:dyDescent="0.3">
      <c r="A34" s="21" t="s">
        <v>14</v>
      </c>
      <c r="B34" s="21">
        <v>1</v>
      </c>
      <c r="C34" s="21">
        <f t="array" ref="C34">IFERROR((SUMIF('כיתה ו1'!$C$7:$C$43,"&lt;&gt;",'כיתה ו1'!$F$7:$F$43)+SUMIF('כיתה ו2'!$C$7:$C$43,"&lt;&gt;",'כיתה ו2'!$F$7:$F$43)+SUMIF('כיתה ו3'!$C$7:$C$43,"&lt;&gt;",'כיתה ו3'!$F$7:$F$43)+SUMIF('כיתה ו4'!$C$7:$C$43,"&lt;&gt;",'כיתה ו4'!$F$7:$F$43)+SUMIF('כיתה ו5'!$C$7:$C$43,"&lt;&gt;",'כיתה ו5'!$F$7:$F$43))/(((COUNTA('כיתה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34" s="21" t="s">
        <v>32</v>
      </c>
      <c r="F34" s="21">
        <v>3</v>
      </c>
      <c r="G34" s="21">
        <f t="array" ref="G34">IFERROR((SUMIF('כיתה ו1'!$C$7:$C$43,"&lt;&gt;",'כיתה ו1'!$S$7:$S$43)+SUMIF('כיתה ו1'!$C$7:$C$43,"&lt;&gt;",'כיתה ו1'!$T$7:$T$43)+SUMIF('כיתה ו1'!$C$7:$C$43,"&lt;&gt;",'כיתה ו1'!$U$7:$U$43)+SUMIF('כיתה ו2'!$C$7:$C$43,"&lt;&gt;",'כיתה ו2'!$S$7:$S$43)+SUMIF('כיתה ו2'!$C$7:$C$43,"&lt;&gt;",'כיתה ו2'!$T$7:$T$43)+SUMIF('כיתה ו2'!$C$7:$C$43,"&lt;&gt;",'כיתה ו2'!$U$7:$U$43)+SUMIF('כיתה ו3'!$C$7:$C$43,"&lt;&gt;",'כיתה ו3'!$S$7:$S$43)+SUMIF('כיתה ו3'!$C$7:$C$43,"&lt;&gt;",'כיתה ו3'!$T$7:$T$43)+SUMIF('כיתה ו3'!$C$7:$C$43,"&lt;&gt;",'כיתה ו3'!$U$7:$U$43)+SUMIF('כיתה ו4'!$C$7:$C$43,"&lt;&gt;",'כיתה ו4'!$S$7:$S$43)+SUMIF('כיתה ו4'!$C$7:$C$43,"&lt;&gt;",'כיתה ו4'!$T$7:$T$43)+SUMIF('כיתה ו4'!$C$7:$C$43,"&lt;&gt;",'כיתה ו4'!$U$7:$U$43)+SUMIF('כיתה ו5'!$C$7:$C$43,"&lt;&gt;",'כיתה ו5'!$S$7:$S$43)+SUMIF('כיתה ו5'!$C$7:$C$43,"&lt;&gt;",'כיתה ו5'!$T$7:$T$43)+SUMIF('כיתה ו5'!$C$7:$C$43,"&lt;&gt;",'כיתה ו5'!$U$7:$U$43))/(((COUNTA('כיתה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ו5'!$F$7:$AE$7)^0))=0))))*6),0)</f>
        <v>0</v>
      </c>
    </row>
    <row r="35" spans="1:7" ht="13.5" customHeight="1" x14ac:dyDescent="0.3">
      <c r="A35" s="21" t="s">
        <v>12</v>
      </c>
      <c r="B35" s="21">
        <v>1</v>
      </c>
      <c r="C35" s="21">
        <f t="array" ref="C35">IFERROR((SUMIF('כיתה ו1'!$C$7:$C$43,"&lt;&gt;",'כיתה ו1'!$G$7:$G$43)+SUMIF('כיתה ו2'!$C$7:$C$43,"&lt;&gt;",'כיתה ו2'!$G$7:$G$43)+SUMIF('כיתה ו3'!$C$7:$C$43,"&lt;&gt;",'כיתה ו3'!$G$7:$G$43)+SUMIF('כיתה ו4'!$C$7:$C$43,"&lt;&gt;",'כיתה ו4'!$G$7:$G$43)+SUMIF('כיתה ו5'!$C$7:$C$43,"&lt;&gt;",'כיתה ו5'!$G$7:$G$43))/(((COUNTA('כיתה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35" s="21" t="s">
        <v>34</v>
      </c>
      <c r="F35" s="21">
        <v>1</v>
      </c>
      <c r="G35" s="21">
        <f t="array" ref="G35">IFERROR((SUMIF('כיתה ו1'!$C$7:$C$43,"&lt;&gt;",'כיתה ו1'!$V$7:$V$43)+SUMIF('כיתה ו2'!$C$7:$C$43,"&lt;&gt;",'כיתה ו2'!$V$7:$V$43)+SUMIF('כיתה ו3'!$C$7:$C$43,"&lt;&gt;",'כיתה ו3'!$V$7:$V$43)+SUMIF('כיתה ו4'!$C$7:$C$43,"&lt;&gt;",'כיתה ו4'!$V$7:$V$43)+SUMIF('כיתה ו5'!$C$7:$C$43,"&lt;&gt;",'כיתה ו5'!$V$7:$V$43))/(((COUNTA('כיתה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ו5'!$F$7:$AE$7)^0))=0))))*2),0)</f>
        <v>0</v>
      </c>
    </row>
    <row r="36" spans="1:7" ht="13.5" customHeight="1" x14ac:dyDescent="0.3">
      <c r="A36" s="21" t="s">
        <v>11</v>
      </c>
      <c r="B36" s="21">
        <v>2</v>
      </c>
      <c r="C36" s="21">
        <f t="array" ref="C36">IFERROR((SUMIF('כיתה ו1'!$C$7:$C$43,"&lt;&gt;",'כיתה ו1'!$H$7:$H$43)+SUMIF('כיתה ו1'!$C$7:$C$43,"&lt;&gt;",'כיתה ו1'!$P$7:$P$43)+SUMIF('כיתה ו2'!$C$7:$C$43,"&lt;&gt;",'כיתה ו2'!$H$7:$H$43)+SUMIF('כיתה ו2'!$C$7:$C$43,"&lt;&gt;",'כיתה ו2'!$P$7:$P$43)+SUMIF('כיתה ו3'!$C$7:$C$43,"&lt;&gt;",'כיתה ו3'!$H$7:$H$43)+SUMIF('כיתה ו3'!$C$7:$C$43,"&lt;&gt;",'כיתה ו3'!$P$7:$P$43)+SUMIF('כיתה ו4'!$C$7:$C$43,"&lt;&gt;",'כיתה ו4'!$H$7:$H$43)+SUMIF('כיתה ו4'!$C$7:$C$43,"&lt;&gt;",'כיתה ו4'!$P$7:$P$43)+SUMIF('כיתה ו5'!$C$7:$C$43,"&lt;&gt;",'כיתה ו5'!$H$7:$H$43)+SUMIF('כיתה ו5'!$C$7:$C$43,"&lt;&gt;",'כיתה ו5'!$P$7:$P$43))/(((COUNTA('כיתה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ו5'!$F$7:$AE$7)^0))=0))))*8),0)</f>
        <v>0</v>
      </c>
      <c r="E36" s="21" t="s">
        <v>35</v>
      </c>
      <c r="F36" s="21">
        <v>1</v>
      </c>
      <c r="G36" s="21">
        <f t="array" ref="G36">IFERROR((SUMIF('כיתה ו1'!$C$7:$C$43,"&lt;&gt;",'כיתה ו1'!$W$7:$W$43)+SUMIF('כיתה ו2'!$C$7:$C$43,"&lt;&gt;",'כיתה ו2'!$W$7:$W$43)+SUMIF('כיתה ו3'!$C$7:$C$43,"&lt;&gt;",'כיתה ו3'!$W$7:$W$43)+SUMIF('כיתה ו4'!$C$7:$C$43,"&lt;&gt;",'כיתה ו4'!$W$7:$W$43)+SUMIF('כיתה ו5'!$C$7:$C$43,"&lt;&gt;",'כיתה ו5'!$W$7:$W$43))/(((COUNTA('כיתה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</row>
    <row r="37" spans="1:7" ht="13.5" customHeight="1" x14ac:dyDescent="0.3">
      <c r="A37" s="21" t="s">
        <v>15</v>
      </c>
      <c r="B37" s="21">
        <v>1</v>
      </c>
      <c r="C37" s="21">
        <f t="array" ref="C37">IFERROR((SUMIF('כיתה ו1'!$C$7:$C$43,"&lt;&gt;",'כיתה ו1'!$I$7:$I$43)+SUMIF('כיתה ו2'!$C$7:$C$43,"&lt;&gt;",'כיתה ו2'!$I$7:$I$43)+SUMIF('כיתה ו3'!$C$7:$C$43,"&lt;&gt;",'כיתה ו3'!$I$7:$I$43)+SUMIF('כיתה ו4'!$C$7:$C$43,"&lt;&gt;",'כיתה ו4'!$I$7:$I$43)+SUMIF('כיתה ו5'!$C$7:$C$43,"&lt;&gt;",'כיתה ו5'!$I$7:$I$43))/(((COUNTA('כיתה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37" s="21" t="s">
        <v>38</v>
      </c>
      <c r="F37" s="21">
        <v>1</v>
      </c>
      <c r="G37" s="21">
        <f t="array" ref="G37">IFERROR((SUMIF('כיתה ו1'!$C$7:$C$43,"&lt;&gt;",'כיתה ו1'!$X$7:$X$43)+SUMIF('כיתה ו2'!$C$7:$C$43,"&lt;&gt;",'כיתה ו2'!$X$7:$X$43)+SUMIF('כיתה ו3'!$C$7:$C$43,"&lt;&gt;",'כיתה ו3'!$X$7:$X$43)+SUMIF('כיתה ו4'!$C$7:$C$43,"&lt;&gt;",'כיתה ו4'!$X$7:$X$43)+SUMIF('כיתה ו5'!$C$7:$C$43,"&lt;&gt;",'כיתה ו5'!$X$7:$X$43))/(((COUNTA('כיתה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ו5'!$F$7:$AE$7)^0))=0))))*3),0)</f>
        <v>0</v>
      </c>
    </row>
    <row r="38" spans="1:7" ht="13.5" customHeight="1" x14ac:dyDescent="0.3">
      <c r="A38" s="21" t="s">
        <v>6</v>
      </c>
      <c r="B38" s="21">
        <v>1</v>
      </c>
      <c r="C38" s="21">
        <f t="array" ref="C38">IFERROR((SUMIF('כיתה ו1'!$C$7:$C$43,"&lt;&gt;",'כיתה ו1'!$J$7:$J$43)+SUMIF('כיתה ו2'!$C$7:$C$43,"&lt;&gt;",'כיתה ו2'!$J$7:$J$43)+SUMIF('כיתה ו3'!$C$7:$C$43,"&lt;&gt;",'כיתה ו3'!$J$7:$J$43)+SUMIF('כיתה ו4'!$C$7:$C$43,"&lt;&gt;",'כיתה ו4'!$J$7:$J$43)+SUMIF('כיתה ו5'!$C$7:$C$43,"&lt;&gt;",'כיתה ו5'!$J$7:$J$43))/(((COUNTA('כיתה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38" s="21" t="s">
        <v>40</v>
      </c>
      <c r="F38" s="21">
        <v>1</v>
      </c>
      <c r="G38" s="21">
        <f t="array" ref="G38">IFERROR((SUMIF('כיתה ו1'!$C$7:$C$43,"&lt;&gt;",'כיתה ו1'!$Y$7:$Y$43)+SUMIF('כיתה ו2'!$C$7:$C$43,"&lt;&gt;",'כיתה ו2'!$Y$7:$Y$43)+SUMIF('כיתה ו3'!$C$7:$C$43,"&lt;&gt;",'כיתה ו3'!$Y$7:$Y$43)+SUMIF('כיתה ו4'!$C$7:$C$43,"&lt;&gt;",'כיתה ו4'!$Y$7:$Y$43)+SUMIF('כיתה ו5'!$C$7:$C$43,"&lt;&gt;",'כיתה ו5'!$Y$7:$Y$43))/(((COUNTA('כיתה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ו5'!$F$7:$AE$7)^0))=0))))*6),0)</f>
        <v>0</v>
      </c>
    </row>
    <row r="39" spans="1:7" ht="13.5" customHeight="1" x14ac:dyDescent="0.3">
      <c r="A39" s="21" t="s">
        <v>27</v>
      </c>
      <c r="B39" s="21">
        <v>1</v>
      </c>
      <c r="C39" s="21">
        <f t="array" ref="C39">IFERROR((SUMIF('כיתה ו1'!$C$7:$C$43,"&lt;&gt;",'כיתה ו1'!$K$7:$K$43)+SUMIF('כיתה ו2'!$C$7:$C$43,"&lt;&gt;",'כיתה ו2'!$K$7:$K$43)+SUMIF('כיתה ו3'!$C$7:$C$43,"&lt;&gt;",'כיתה ו3'!$K$7:$K$43)+SUMIF('כיתה ו4'!$C$7:$C$43,"&lt;&gt;",'כיתה ו4'!$K$7:$K$43)+SUMIF('כיתה ו5'!$C$7:$C$43,"&lt;&gt;",'כיתה ו5'!$K$7:$K$43))/(((COUNTA('כיתה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ו5'!$F$7:$AE$7)^0))=0))))*6),0)</f>
        <v>0</v>
      </c>
      <c r="E39" s="21" t="s">
        <v>13</v>
      </c>
      <c r="F39" s="21">
        <v>1</v>
      </c>
      <c r="G39" s="21">
        <f t="array" ref="G39">IFERROR((SUMIF('כיתה ו1'!$C$7:$C$43,"&lt;&gt;",'כיתה ו1'!$Z$7:$Z$43)+SUMIF('כיתה ו2'!$C$7:$C$43,"&lt;&gt;",'כיתה ו2'!$Z$7:$Z$43)+SUMIF('כיתה ו3'!$C$7:$C$43,"&lt;&gt;",'כיתה ו3'!$Z$7:$Z$43)+SUMIF('כיתה ו4'!$C$7:$C$43,"&lt;&gt;",'כיתה ו4'!$Z$7:$Z$43)+SUMIF('כיתה ו5'!$C$7:$C$43,"&lt;&gt;",'כיתה ו5'!$Z$7:$Z$43))/(((COUNTA('כיתה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ו5'!$F$7:$AE$7)^0))=0))))*3),0)</f>
        <v>0</v>
      </c>
    </row>
    <row r="40" spans="1:7" ht="13.5" customHeight="1" x14ac:dyDescent="0.3">
      <c r="A40" s="21" t="s">
        <v>28</v>
      </c>
      <c r="B40" s="21">
        <v>1</v>
      </c>
      <c r="C40" s="21">
        <f t="array" ref="C40">IFERROR((SUMIF('כיתה ו1'!$C$7:$C$43,"&lt;&gt;",'כיתה ו1'!$L$7:$L$43)+SUMIF('כיתה ו2'!$C$7:$C$43,"&lt;&gt;",'כיתה ו2'!$L$7:$L$43)+SUMIF('כיתה ו3'!$C$7:$C$43,"&lt;&gt;",'כיתה ו3'!$L$7:$L$43)+SUMIF('כיתה ו4'!$C$7:$C$43,"&lt;&gt;",'כיתה ו4'!$L$7:$L$43)+SUMIF('כיתה ו5'!$C$7:$C$43,"&lt;&gt;",'כיתה ו5'!$L$7:$L$43))/(((COUNTA('כיתה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40" s="21" t="s">
        <v>20</v>
      </c>
      <c r="F40" s="21">
        <v>1</v>
      </c>
      <c r="G40" s="21">
        <f t="array" ref="G40">IFERROR((SUMIF('כיתה ו1'!$C$7:$C$43,"&lt;&gt;",'כיתה ו1'!$AA$7:$AA$43)+SUMIF('כיתה ו2'!$C$7:$C$43,"&lt;&gt;",'כיתה ו2'!$AA$7:$AA$43)+SUMIF('כיתה ו3'!$C$7:$C$43,"&lt;&gt;",'כיתה ו3'!$AA$7:$AA$43)+SUMIF('כיתה ו4'!$C$7:$C$43,"&lt;&gt;",'כיתה ו4'!$AA$7:$AA$43)+SUMIF('כיתה ו5'!$C$7:$C$43,"&lt;&gt;",'כיתה ו5'!$AA$7:$AA$43))/(((COUNTA('כיתה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</row>
    <row r="41" spans="1:7" ht="13.5" customHeight="1" x14ac:dyDescent="0.3">
      <c r="A41" s="21" t="s">
        <v>16</v>
      </c>
      <c r="B41" s="21">
        <v>1</v>
      </c>
      <c r="C41" s="21">
        <f t="array" ref="C41">IFERROR((SUMIF('כיתה ו1'!$C$7:$C$43,"&lt;&gt;",'כיתה ו1'!$M$7:$M$43)+SUMIF('כיתה ו2'!$C$7:$C$43,"&lt;&gt;",'כיתה ו2'!$M$7:$M$43)+SUMIF('כיתה ו3'!$C$7:$C$43,"&lt;&gt;",'כיתה ו3'!$M$7:$M$43)+SUMIF('כיתה ו4'!$C$7:$C$43,"&lt;&gt;",'כיתה ו4'!$M$7:$M$43)+SUMIF('כיתה ו5'!$C$7:$C$43,"&lt;&gt;",'כיתה ו5'!$M$7:$M$43))/(((COUNTA('כיתה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41" s="21" t="s">
        <v>44</v>
      </c>
      <c r="F41" s="21">
        <v>1</v>
      </c>
      <c r="G41" s="21">
        <f t="array" ref="G41">IFERROR((SUMIF('כיתה ו1'!$C$7:$C$43,"&lt;&gt;",'כיתה ו1'!$AB$7:$AB$43)+SUMIF('כיתה ו2'!$C$7:$C$43,"&lt;&gt;",'כיתה ו2'!$AB$7:$AB$43)+SUMIF('כיתה ו3'!$C$7:$C$43,"&lt;&gt;",'כיתה ו3'!$AB$7:$AB$43)+SUMIF('כיתה ו4'!$C$7:$C$43,"&lt;&gt;",'כיתה ו4'!$AB$7:$AB$43)+SUMIF('כיתה ו5'!$C$7:$C$43,"&lt;&gt;",'כיתה ו5'!$AB$7:$AB$43))/(((COUNTA('כיתה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ו5'!$F$7:$AE$7)^0))=0))))*6),0)</f>
        <v>0</v>
      </c>
    </row>
    <row r="42" spans="1:7" ht="13.5" customHeight="1" x14ac:dyDescent="0.3">
      <c r="A42" s="21" t="s">
        <v>10</v>
      </c>
      <c r="B42" s="21">
        <v>2</v>
      </c>
      <c r="C42" s="21">
        <f t="array" ref="C42">IFERROR((SUMIF('כיתה ו1'!$C$7:$C$43,"&lt;&gt;",'כיתה ו1'!$N$7:$N$43)+SUMIF('כיתה ו1'!$C$7:$C$43,"&lt;&gt;",'כיתה ו1'!$O$7:$O$43)+SUMIF('כיתה ו2'!$C$7:$C$43,"&lt;&gt;",'כיתה ו2'!$N$7:$N$43)+SUMIF('כיתה ו2'!$C$7:$C$43,"&lt;&gt;",'כיתה ו2'!$O$7:$O$43)+SUMIF('כיתה ו3'!$C$7:$C$43,"&lt;&gt;",'כיתה ו3'!$N$7:$N$43)+SUMIF('כיתה ו3'!$C$7:$C$43,"&lt;&gt;",'כיתה ו3'!$O$7:$O$43)+SUMIF('כיתה ו4'!$C$7:$C$43,"&lt;&gt;",'כיתה ו4'!$N$7:$N$43)+SUMIF('כיתה ו4'!$C$7:$C$43,"&lt;&gt;",'כיתה ו4'!$O$7:$O$43)+SUMIF('כיתה ו5'!$C$7:$C$43,"&lt;&gt;",'כיתה ו5'!$N$7:$N$43)+SUMIF('כיתה ו5'!$C$7:$C$43,"&lt;&gt;",'כיתה ו5'!$O$7:$O$43))/(((COUNTA('כיתה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ו5'!$F$7:$AE$7)^0))=0))))*8),0)</f>
        <v>0</v>
      </c>
      <c r="E42" s="21" t="s">
        <v>45</v>
      </c>
      <c r="F42" s="21">
        <v>1</v>
      </c>
      <c r="G42" s="21">
        <f t="array" ref="G42">IFERROR((SUMIF('כיתה ו1'!$C$7:$C$43,"&lt;&gt;",'כיתה ו1'!$AC$7:$AC$43)+SUMIF('כיתה ו2'!$C$7:$C$43,"&lt;&gt;",'כיתה ו2'!$AC$7:$AC$43)+SUMIF('כיתה ו3'!$C$7:$C$43,"&lt;&gt;",'כיתה ו3'!$AC$7:$AC$43)+SUMIF('כיתה ו4'!$C$7:$C$43,"&lt;&gt;",'כיתה ו4'!$AC$7:$AC$43)+SUMIF('כיתה ו5'!$C$7:$C$43,"&lt;&gt;",'כיתה ו5'!$AC$7:$AC$43))/(((COUNTA('כיתה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</row>
    <row r="43" spans="1:7" ht="13.5" customHeight="1" x14ac:dyDescent="0.3">
      <c r="A43" s="21" t="s">
        <v>30</v>
      </c>
      <c r="B43" s="21">
        <v>1</v>
      </c>
      <c r="C43" s="21">
        <f t="array" ref="C43">IFERROR((SUMIF('כיתה ו1'!$C$7:$C$43,"&lt;&gt;",'כיתה ו1'!$Q$7:$Q$43)+SUMIF('כיתה ו2'!$C$7:$C$43,"&lt;&gt;",'כיתה ו2'!$Q$7:$Q$43)+SUMIF('כיתה ו3'!$C$7:$C$43,"&lt;&gt;",'כיתה ו3'!$Q$7:$Q$43)+SUMIF('כיתה ו4'!$C$7:$C$43,"&lt;&gt;",'כיתה ו4'!$Q$7:$Q$43)+SUMIF('כיתה ו5'!$C$7:$C$43,"&lt;&gt;",'כיתה ו5'!$Q$7:$Q$43))/(((COUNTA('כיתה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  <c r="E43" s="21" t="s">
        <v>47</v>
      </c>
      <c r="F43" s="21">
        <v>1</v>
      </c>
      <c r="G43" s="21">
        <f t="array" ref="G43">IFERROR((SUMIF('כיתה ו1'!$C$7:$C$43,"&lt;&gt;",'כיתה ו1'!$AD$7:$AD$43)+SUMIF('כיתה ו2'!$C$7:$C$43,"&lt;&gt;",'כיתה ו2'!$AD$7:$AD$43)+SUMIF('כיתה ו3'!$C$7:$C$43,"&lt;&gt;",'כיתה ו3'!$AD$7:$AD$43)+SUMIF('כיתה ו4'!$C$7:$C$43,"&lt;&gt;",'כיתה ו4'!$AD$7:$AD$43)+SUMIF('כיתה ו5'!$C$7:$C$43,"&lt;&gt;",'כיתה ו5'!$AD$7:$AD$43))/(((COUNTA('כיתה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ו5'!$F$7:$AE$7)^0))=0))))*4),0)</f>
        <v>0</v>
      </c>
    </row>
    <row r="44" spans="1:7" ht="13.5" customHeight="1" x14ac:dyDescent="0.3">
      <c r="A44" s="21" t="s">
        <v>31</v>
      </c>
      <c r="B44" s="21">
        <v>1</v>
      </c>
      <c r="C44" s="21">
        <f t="array" ref="C44">IFERROR((SUMIF('כיתה ו1'!$C$7:$C$43,"&lt;&gt;",'כיתה ו1'!$R$7:$R$43)+SUMIF('כיתה ו2'!$C$7:$C$43,"&lt;&gt;",'כיתה ו2'!$R$7:$R$43)+SUMIF('כיתה ו3'!$C$7:$C$43,"&lt;&gt;",'כיתה ו3'!$R$7:$R$43)+SUMIF('כיתה ו4'!$C$7:$C$43,"&lt;&gt;",'כיתה ו4'!$R$7:$R$43)+SUMIF('כיתה ו5'!$C$7:$C$43,"&lt;&gt;",'כיתה ו5'!$R$7:$R$43))/(((COUNTA('כיתה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ו5'!$F$7:$AE$7)^0))=0))))*3),0)</f>
        <v>0</v>
      </c>
      <c r="E44" s="21" t="s">
        <v>48</v>
      </c>
      <c r="F44" s="21">
        <v>1</v>
      </c>
      <c r="G44" s="21">
        <f t="array" ref="G44">IFERROR((SUMIF('כיתה ו1'!$C$7:$C$43,"&lt;&gt;",'כיתה ו1'!$AE$7:$AE$43)+SUMIF('כיתה ו2'!$C$7:$C$43,"&lt;&gt;",'כיתה ו2'!$AE$7:$AE$43)+SUMIF('כיתה ו3'!$C$7:$C$43,"&lt;&gt;",'כיתה ו3'!$AE$7:$AE$43)+SUMIF('כיתה ו4'!$C$7:$C$43,"&lt;&gt;",'כיתה ו4'!$AE$7:$AE$43)+SUMIF('כיתה ו5'!$C$7:$C$43,"&lt;&gt;",'כיתה ו5'!$AE$7:$AE$43))/(((COUNTA('כיתה ו1'!$C$7:$C$43)-SUMPRODUCT(--('כיתה ו1'!$C$7:$C$43&lt;&gt;""),--(MMULT(--('כיתה ו1'!$F$7:$AE$43&lt;&gt;""),TRANSPOSE(COLUMN('כיתה ו1'!$F$7:$AE$7)^0))=0)))+(COUNTA('כיתה ו2'!$C$7:$C$43)-SUMPRODUCT(--('כיתה ו2'!$C$7:$C$43&lt;&gt;""),--(MMULT(--('כיתה ו2'!$F$7:$AE$43&lt;&gt;""),TRANSPOSE(COLUMN('כיתה ו2'!$F$7:$AE$7)^0))=0)))+(COUNTA('כיתה ו3'!$C$7:$C$43)-SUMPRODUCT(--('כיתה ו3'!$C$7:$C$43&lt;&gt;""),--(MMULT(--('כיתה ו3'!$F$7:$AE$43&lt;&gt;""),TRANSPOSE(COLUMN('כיתה ו3'!$F$7:$AE$7)^0))=0)))+(COUNTA('כיתה ו4'!$C$7:$C$43)-SUMPRODUCT(--('כיתה ו4'!$C$7:$C$43&lt;&gt;""),--(MMULT(--('כיתה ו4'!$F$7:$AE$43&lt;&gt;""),TRANSPOSE(COLUMN('כיתה ו4'!$F$7:$AE$7)^0))=0)))+(COUNTA('כיתה ו5'!$C$7:$C$43)-SUMPRODUCT(--('כיתה ו5'!$C$7:$C$43&lt;&gt;""),--(MMULT(--('כיתה ו5'!$F$7:$AE$43&lt;&gt;""),TRANSPOSE(COLUMN('כיתה ו5'!$F$7:$AE$7)^0))=0))))*5),0)</f>
        <v>0</v>
      </c>
    </row>
    <row r="45" spans="1:7" ht="13.5" customHeight="1" x14ac:dyDescent="0.3"/>
    <row r="46" spans="1:7" ht="13.5" customHeight="1" x14ac:dyDescent="0.3"/>
    <row r="47" spans="1:7" ht="13.5" customHeight="1" x14ac:dyDescent="0.3"/>
    <row r="48" spans="1:7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4">
    <mergeCell ref="M5:P6"/>
    <mergeCell ref="Q5:V6"/>
    <mergeCell ref="A1:V1"/>
    <mergeCell ref="A2:V2"/>
    <mergeCell ref="D4:F4"/>
    <mergeCell ref="G4:I4"/>
    <mergeCell ref="J4:L4"/>
    <mergeCell ref="M4:P4"/>
    <mergeCell ref="Q4:V4"/>
    <mergeCell ref="A4:C4"/>
    <mergeCell ref="A5:C6"/>
    <mergeCell ref="D5:F6"/>
    <mergeCell ref="G5:I6"/>
    <mergeCell ref="J5:L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כיתה ו1</vt:lpstr>
      <vt:lpstr>כיתה ו2</vt:lpstr>
      <vt:lpstr>כיתה ו3</vt:lpstr>
      <vt:lpstr>כיתה ו4</vt:lpstr>
      <vt:lpstr>כיתה ו5</vt:lpstr>
      <vt:lpstr>דשבורד שכבה 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דיאנה רויטמן אלטמן</dc:creator>
  <cp:lastModifiedBy>דיאנה רויטמן אלטמן</cp:lastModifiedBy>
  <dcterms:created xsi:type="dcterms:W3CDTF">2026-10-05T15:35:51Z</dcterms:created>
  <dcterms:modified xsi:type="dcterms:W3CDTF">2026-10-07T20:07:49Z</dcterms:modified>
</cp:coreProperties>
</file>